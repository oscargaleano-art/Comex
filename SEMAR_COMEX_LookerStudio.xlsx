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ciones" sheetId="1" state="visible" r:id="rId3"/>
    <sheet name="Fletes" sheetId="2" state="visible" r:id="rId4"/>
    <sheet name="Proveedores" sheetId="3" state="visible" r:id="rId5"/>
    <sheet name="Alertas" sheetId="4" state="visible" r:id="rId6"/>
    <sheet name="Resumen_KPIs" sheetId="5" state="visible" r:id="rId7"/>
  </sheets>
  <definedNames>
    <definedName function="false" hidden="true" localSheetId="3" name="_xlnm._FilterDatabase" vbProcedure="false">Alertas!$A$1:$L$10</definedName>
    <definedName function="false" hidden="true" localSheetId="1" name="_xlnm._FilterDatabase" vbProcedure="false">Fletes!$A$1:$U$8</definedName>
    <definedName function="false" hidden="true" localSheetId="0" name="_xlnm._FilterDatabase" vbProcedure="false">Operaciones!$A$1:$W$19</definedName>
    <definedName function="false" hidden="true" localSheetId="2" name="_xlnm._FilterDatabase" vbProcedure="false">Proveedores!$A$1:$M$13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<sst xmlns="http://schemas.openxmlformats.org/spreadsheetml/2006/main" count="701" uniqueCount="358">
  <si>
    <t xml:space="preserve">REF_SVLM</t>
  </si>
  <si>
    <t xml:space="preserve">Proveedor</t>
  </si>
  <si>
    <t xml:space="preserve">País</t>
  </si>
  <si>
    <t xml:space="preserve">Región_Origen</t>
  </si>
  <si>
    <t xml:space="preserve">Tipo_Transporte</t>
  </si>
  <si>
    <t xml:space="preserve">Modalidad</t>
  </si>
  <si>
    <t xml:space="preserve">Contenedor</t>
  </si>
  <si>
    <t xml:space="preserve">Carrier_Buque</t>
  </si>
  <si>
    <t xml:space="preserve">ATD_Fecha</t>
  </si>
  <si>
    <t xml:space="preserve">ATA_Fecha</t>
  </si>
  <si>
    <t xml:space="preserve">ATA_Mes</t>
  </si>
  <si>
    <t xml:space="preserve">ATA_Año</t>
  </si>
  <si>
    <t xml:space="preserve">Puerto_PY</t>
  </si>
  <si>
    <t xml:space="preserve">Transit_Días</t>
  </si>
  <si>
    <t xml:space="preserve">Flete_Total_USD</t>
  </si>
  <si>
    <t xml:space="preserve">Estado</t>
  </si>
  <si>
    <t xml:space="preserve">Estado_Pago</t>
  </si>
  <si>
    <t xml:space="preserve">Valor_Mercadería_USD</t>
  </si>
  <si>
    <t xml:space="preserve">Incidencia</t>
  </si>
  <si>
    <t xml:space="preserve">Categoría_Prod</t>
  </si>
  <si>
    <t xml:space="preserve">Agente_Flete</t>
  </si>
  <si>
    <t xml:space="preserve">Despachante</t>
  </si>
  <si>
    <t xml:space="preserve">Gmail_Link</t>
  </si>
  <si>
    <t xml:space="preserve">AGEL-105-2024</t>
  </si>
  <si>
    <t xml:space="preserve">AGEL ANEIS GAXETAS EQUIPAMENTOS LTDA</t>
  </si>
  <si>
    <t xml:space="preserve">Brasil</t>
  </si>
  <si>
    <t xml:space="preserve">Terrestre</t>
  </si>
  <si>
    <t xml:space="preserve">CRT (Camión)</t>
  </si>
  <si>
    <t xml:space="preserve">—</t>
  </si>
  <si>
    <t xml:space="preserve">BTR Transportes</t>
  </si>
  <si>
    <t xml:space="preserve">Nov</t>
  </si>
  <si>
    <t xml:space="preserve">2024</t>
  </si>
  <si>
    <t xml:space="preserve">PAKSA / ASU</t>
  </si>
  <si>
    <t xml:space="preserve">Completado</t>
  </si>
  <si>
    <t xml:space="preserve">✓ Anticipo pagado 04/11/2024</t>
  </si>
  <si>
    <t xml:space="preserve">Sin incidencias</t>
  </si>
  <si>
    <t xml:space="preserve">Sellos / Gaxetas</t>
  </si>
  <si>
    <t xml:space="preserve">Rieder</t>
  </si>
  <si>
    <t xml:space="preserve">https://mail.google.com/mail/u/0/#all/192f7753b42107d6</t>
  </si>
  <si>
    <t xml:space="preserve">SVLM006470</t>
  </si>
  <si>
    <t xml:space="preserve">TOPTUL</t>
  </si>
  <si>
    <t xml:space="preserve">Taiwán</t>
  </si>
  <si>
    <t xml:space="preserve">Asia-Pacífico</t>
  </si>
  <si>
    <t xml:space="preserve">Marítimo</t>
  </si>
  <si>
    <t xml:space="preserve">FCL 1×40</t>
  </si>
  <si>
    <t xml:space="preserve">1×40</t>
  </si>
  <si>
    <t xml:space="preserve">TAJY MARU III 0525N</t>
  </si>
  <si>
    <t xml:space="preserve">Jul</t>
  </si>
  <si>
    <t xml:space="preserve">2025</t>
  </si>
  <si>
    <t xml:space="preserve">Terport Villeta</t>
  </si>
  <si>
    <t xml:space="preserve">Pagado</t>
  </si>
  <si>
    <t xml:space="preserve">Herramientas</t>
  </si>
  <si>
    <t xml:space="preserve">Rolitrans</t>
  </si>
  <si>
    <t xml:space="preserve">https://mail.google.com/mail/u/0/#all/1986145d3b956e37</t>
  </si>
  <si>
    <t xml:space="preserve">SVLM006613</t>
  </si>
  <si>
    <t xml:space="preserve">SO GIANT OIL SEAL (P.1)</t>
  </si>
  <si>
    <t xml:space="preserve">LCL 2.74 CBM</t>
  </si>
  <si>
    <t xml:space="preserve">2.74 CBM</t>
  </si>
  <si>
    <t xml:space="preserve">MAERSK LABERINTO</t>
  </si>
  <si>
    <t xml:space="preserve">Jun</t>
  </si>
  <si>
    <t xml:space="preserve">Puerto Fénix</t>
  </si>
  <si>
    <t xml:space="preserve">Sellos / Rodamientos</t>
  </si>
  <si>
    <t xml:space="preserve">https://mail.google.com/mail/u/0/#all/197c0a451741afad</t>
  </si>
  <si>
    <t xml:space="preserve">SVLM006852</t>
  </si>
  <si>
    <t xml:space="preserve">SO GIANT OIL SEAL (P.2)</t>
  </si>
  <si>
    <t xml:space="preserve">WAN HAI 365 / MAERSK LINS</t>
  </si>
  <si>
    <t xml:space="preserve">Sep</t>
  </si>
  <si>
    <t xml:space="preserve">https://mail.google.com/mail/u/0/#all/1991100f3df00a8a</t>
  </si>
  <si>
    <t xml:space="preserve">HYD-45-2025</t>
  </si>
  <si>
    <t xml:space="preserve">HYDRONLUBZ IND. E COM. DE EQUIPAMENTOS LTDA</t>
  </si>
  <si>
    <t xml:space="preserve">May</t>
  </si>
  <si>
    <t xml:space="preserve">✓ SWIFT 13/05/2025</t>
  </si>
  <si>
    <t xml:space="preserve">10 uds bomba 848503 faltaron (nota crédito emitida)</t>
  </si>
  <si>
    <t xml:space="preserve">Engrase / Bombas</t>
  </si>
  <si>
    <t xml:space="preserve">https://mail.google.com/mail/u/0/#all/196f8179f9947db9</t>
  </si>
  <si>
    <t xml:space="preserve">SVLM007416</t>
  </si>
  <si>
    <t xml:space="preserve">SEMAR 3059997 (IMO)</t>
  </si>
  <si>
    <t xml:space="preserve">USA</t>
  </si>
  <si>
    <t xml:space="preserve">América del Norte</t>
  </si>
  <si>
    <t xml:space="preserve">FCL 1×40 IMO</t>
  </si>
  <si>
    <t xml:space="preserve">1×40 HQ</t>
  </si>
  <si>
    <t xml:space="preserve">MAERSK MONTE PASCOAL 531S</t>
  </si>
  <si>
    <t xml:space="preserve">Carga peligrosa IMO — sobrecargo aplicado</t>
  </si>
  <si>
    <t xml:space="preserve">Adhesivos / Selladores</t>
  </si>
  <si>
    <t xml:space="preserve">https://mail.google.com/mail/u/0/#all/19977746b13f178b</t>
  </si>
  <si>
    <t xml:space="preserve">VIP-631626</t>
  </si>
  <si>
    <t xml:space="preserve">VIPAL BORRACHAS S.A.</t>
  </si>
  <si>
    <t xml:space="preserve">✓ Pago confirmado 21/08/2025</t>
  </si>
  <si>
    <t xml:space="preserve">CO XML no disponible (solo físico ACE74)</t>
  </si>
  <si>
    <t xml:space="preserve">Parches / Neumáticos</t>
  </si>
  <si>
    <t xml:space="preserve">https://mail.google.com/mail/u/0/#all/198e7be329768fa4</t>
  </si>
  <si>
    <t xml:space="preserve">SVLM007626</t>
  </si>
  <si>
    <t xml:space="preserve">CRC INDUSTRIES INC.</t>
  </si>
  <si>
    <t xml:space="preserve">FCL</t>
  </si>
  <si>
    <t xml:space="preserve">MAERSK MONTE ALEGRE 668410</t>
  </si>
  <si>
    <t xml:space="preserve">https://mail.google.com/mail/u/0/#all/199e40dbfed4658e</t>
  </si>
  <si>
    <t xml:space="preserve">SVLM007717</t>
  </si>
  <si>
    <t xml:space="preserve">VISBELLA</t>
  </si>
  <si>
    <t xml:space="preserve">China</t>
  </si>
  <si>
    <t xml:space="preserve">SAN LORENZO MAERSK 540W</t>
  </si>
  <si>
    <t xml:space="preserve">NCM múltiple (321410, 350691, 350610)</t>
  </si>
  <si>
    <t xml:space="preserve">https://mail.google.com/mail/u/0/#all/199e7d440196ac2c</t>
  </si>
  <si>
    <t xml:space="preserve">SVLM007961</t>
  </si>
  <si>
    <t xml:space="preserve">MOL EXPLORER 092W</t>
  </si>
  <si>
    <t xml:space="preserve">Feb</t>
  </si>
  <si>
    <t xml:space="preserve">2026</t>
  </si>
  <si>
    <t xml:space="preserve">Factura adicional LWS</t>
  </si>
  <si>
    <t xml:space="preserve">https://mail.google.com/mail/u/0/#all/19c24a52d09275da</t>
  </si>
  <si>
    <t xml:space="preserve">SCH-200126</t>
  </si>
  <si>
    <t xml:space="preserve">SCHWEERS</t>
  </si>
  <si>
    <t xml:space="preserve">Anticipo sin entrega</t>
  </si>
  <si>
    <t xml:space="preserve">✓ Anticipo SWIFT 20/01/2026</t>
  </si>
  <si>
    <t xml:space="preserve">4+ meses sin ETA — stock crítico (6 uds Curvo)</t>
  </si>
  <si>
    <t xml:space="preserve">Herramientas Gomería</t>
  </si>
  <si>
    <t xml:space="preserve">https://mail.google.com/mail/u/0/#all/19be08c22b9fbc9d</t>
  </si>
  <si>
    <t xml:space="preserve">SVLM008448</t>
  </si>
  <si>
    <t xml:space="preserve">PERMATEX</t>
  </si>
  <si>
    <t xml:space="preserve">https://mail.google.com/mail/u/0/#all/19c771a8fdb74046</t>
  </si>
  <si>
    <t xml:space="preserve">HYD-190226</t>
  </si>
  <si>
    <t xml:space="preserve">Mar</t>
  </si>
  <si>
    <t xml:space="preserve">Puerto PAKSA</t>
  </si>
  <si>
    <t xml:space="preserve">✓ SWIFT re-enviado PDI:260200002015416N</t>
  </si>
  <si>
    <t xml:space="preserve">1ª transferencia devuelta (cuenta inválida) — resuelta</t>
  </si>
  <si>
    <t xml:space="preserve">https://mail.google.com/mail/u/0/#all/19c7701fda734a28</t>
  </si>
  <si>
    <t xml:space="preserve">SVLM008250</t>
  </si>
  <si>
    <t xml:space="preserve">YATO</t>
  </si>
  <si>
    <t xml:space="preserve">FCL 2×40 HQ</t>
  </si>
  <si>
    <t xml:space="preserve">2×40 HQ</t>
  </si>
  <si>
    <t xml:space="preserve">DOÑA MAGDA 9737EN</t>
  </si>
  <si>
    <t xml:space="preserve">Abr</t>
  </si>
  <si>
    <t xml:space="preserve">Puerto Seguro Fluvial</t>
  </si>
  <si>
    <t xml:space="preserve">En despacho</t>
  </si>
  <si>
    <t xml:space="preserve">✓ 30% anticipo pagado</t>
  </si>
  <si>
    <t xml:space="preserve">Días libres próximos a vencer — urgente</t>
  </si>
  <si>
    <t xml:space="preserve">https://mail.google.com/mail/u/0/#all/19dceb32e71734b5</t>
  </si>
  <si>
    <t xml:space="preserve">SVLM008827</t>
  </si>
  <si>
    <t xml:space="preserve">CRC</t>
  </si>
  <si>
    <t xml:space="preserve">LCL</t>
  </si>
  <si>
    <t xml:space="preserve">MAERSK FORTALEZA 615S</t>
  </si>
  <si>
    <t xml:space="preserve">https://mail.google.com/mail/u/0/#all/19e08ca1ef8ee349</t>
  </si>
  <si>
    <t xml:space="preserve">PCP-070426</t>
  </si>
  <si>
    <t xml:space="preserve">PC PRODUCTS INTERNATIONAL</t>
  </si>
  <si>
    <t xml:space="preserve">Tailandia</t>
  </si>
  <si>
    <t xml:space="preserve">FCL CIF ASU</t>
  </si>
  <si>
    <t xml:space="preserve">Gestión proveedor (CIF)</t>
  </si>
  <si>
    <t xml:space="preserve">Pagado — pdte. ATA</t>
  </si>
  <si>
    <t xml:space="preserve">Proveedor (CIF)</t>
  </si>
  <si>
    <t xml:space="preserve">https://mail.google.com/mail/u/0/#all/19e023e7e560160e</t>
  </si>
  <si>
    <t xml:space="preserve">SVLM009088</t>
  </si>
  <si>
    <t xml:space="preserve">ROTAR / TOPTUL</t>
  </si>
  <si>
    <t xml:space="preserve">FCL 2×40</t>
  </si>
  <si>
    <t xml:space="preserve">2×40</t>
  </si>
  <si>
    <t xml:space="preserve">COSCO → Singapur → BUE</t>
  </si>
  <si>
    <t xml:space="preserve">— (ETA BUE 24/05)</t>
  </si>
  <si>
    <t xml:space="preserve">En tránsito</t>
  </si>
  <si>
    <t xml:space="preserve">SWIFT enviado $250,000 (02/05)</t>
  </si>
  <si>
    <t xml:space="preserve">Pendiente confirmar recepción pago por Rotar</t>
  </si>
  <si>
    <t xml:space="preserve">SVLM009357</t>
  </si>
  <si>
    <t xml:space="preserve">VISBELLA DG</t>
  </si>
  <si>
    <t xml:space="preserve">FCL DG Cl.2.1</t>
  </si>
  <si>
    <t xml:space="preserve">KOTA PAHLAWAN (CMA)</t>
  </si>
  <si>
    <t xml:space="preserve">— (ETA PY 22/07)</t>
  </si>
  <si>
    <t xml:space="preserve">Pendiente embarque</t>
  </si>
  <si>
    <t xml:space="preserve">BL borrador sin confirmar — DG clase 2.1 / UN1950</t>
  </si>
  <si>
    <t xml:space="preserve">https://mail.google.com/mail/u/0/#all/19dd497146cf78b9</t>
  </si>
  <si>
    <t xml:space="preserve">Ruta</t>
  </si>
  <si>
    <t xml:space="preserve">Fecha_ATD</t>
  </si>
  <si>
    <t xml:space="preserve">Año</t>
  </si>
  <si>
    <t xml:space="preserve">Carrier</t>
  </si>
  <si>
    <t xml:space="preserve">Incoterm</t>
  </si>
  <si>
    <t xml:space="preserve">Volumen_CBM</t>
  </si>
  <si>
    <t xml:space="preserve">Num_Contenedores</t>
  </si>
  <si>
    <t xml:space="preserve">Flete_Maritimo_USD</t>
  </si>
  <si>
    <t xml:space="preserve">Flete_Terrestre_USD</t>
  </si>
  <si>
    <t xml:space="preserve">Gastos_Locales_Origen_USD</t>
  </si>
  <si>
    <t xml:space="preserve">Gastos_Locales_PY_USD</t>
  </si>
  <si>
    <t xml:space="preserve">Seguro_USD</t>
  </si>
  <si>
    <t xml:space="preserve">Tasas_Portuarias_USD</t>
  </si>
  <si>
    <t xml:space="preserve">Total_Flete_USD</t>
  </si>
  <si>
    <t xml:space="preserve">Rate_CBM</t>
  </si>
  <si>
    <t xml:space="preserve">Dias_Libres</t>
  </si>
  <si>
    <t xml:space="preserve">Transit_Dias</t>
  </si>
  <si>
    <t xml:space="preserve">Fuente</t>
  </si>
  <si>
    <t xml:space="preserve">SO GIANT P.1</t>
  </si>
  <si>
    <t xml:space="preserve">Taiwán→HKG→PY</t>
  </si>
  <si>
    <t xml:space="preserve">FOB</t>
  </si>
  <si>
    <t xml:space="preserve">Correo Rolitrans 30/06/2025</t>
  </si>
  <si>
    <t xml:space="preserve">SO GIANT P.2</t>
  </si>
  <si>
    <t xml:space="preserve">HKG→Itapoa→PY</t>
  </si>
  <si>
    <t xml:space="preserve">WAN HAI 365/MAERSK LINS</t>
  </si>
  <si>
    <t xml:space="preserve">SEMAR 3059997</t>
  </si>
  <si>
    <t xml:space="preserve">Port Everglades→PY</t>
  </si>
  <si>
    <t xml:space="preserve">Correo Rolitrans 13/08/2025</t>
  </si>
  <si>
    <t xml:space="preserve">China→Puerto Seguro</t>
  </si>
  <si>
    <t xml:space="preserve">CMA</t>
  </si>
  <si>
    <t xml:space="preserve">Correo Rolitrans 10/12/2025</t>
  </si>
  <si>
    <t xml:space="preserve">Miami→PY</t>
  </si>
  <si>
    <t xml:space="preserve">Correo Rolitrans 10/03/2026</t>
  </si>
  <si>
    <t xml:space="preserve">TOTALES CONOCIDOS</t>
  </si>
  <si>
    <t xml:space="preserve">Región</t>
  </si>
  <si>
    <t xml:space="preserve">Categoría_Productos</t>
  </si>
  <si>
    <t xml:space="preserve">Email_Contacto</t>
  </si>
  <si>
    <t xml:space="preserve">Contacto_Nombre</t>
  </si>
  <si>
    <t xml:space="preserve">Incoterm_Habitual</t>
  </si>
  <si>
    <t xml:space="preserve">Agente_Logístico</t>
  </si>
  <si>
    <t xml:space="preserve">Num_Operaciones</t>
  </si>
  <si>
    <t xml:space="preserve">Última_Operación</t>
  </si>
  <si>
    <t xml:space="preserve">Estado_Relación</t>
  </si>
  <si>
    <t xml:space="preserve">Observaciones</t>
  </si>
  <si>
    <t xml:space="preserve">TOPTUL / Rotar</t>
  </si>
  <si>
    <t xml:space="preserve">Herramientas profesionales</t>
  </si>
  <si>
    <t xml:space="preserve">australia@rotar.com.tw</t>
  </si>
  <si>
    <t xml:space="preserve">Rita</t>
  </si>
  <si>
    <t xml:space="preserve">Marítimo FCL</t>
  </si>
  <si>
    <t xml:space="preserve">Abr 2026 (en tránsito)</t>
  </si>
  <si>
    <t xml:space="preserve">Activo</t>
  </si>
  <si>
    <t xml:space="preserve">Pago USD 250,000 SWIFT 02/05/2026 — pendiente confirmación de Rotar</t>
  </si>
  <si>
    <t xml:space="preserve">Herramientas y equipos</t>
  </si>
  <si>
    <t xml:space="preserve">leo@yato-sh.com / espartaco@yato-sh.com</t>
  </si>
  <si>
    <t xml:space="preserve">Leo / Espartaco</t>
  </si>
  <si>
    <t xml:space="preserve">Feb-Abr 2026 (en despacho)</t>
  </si>
  <si>
    <t xml:space="preserve">Anticipo 30% pagado. Nota: alerta de aumento de precios por tungsteno/cobalto</t>
  </si>
  <si>
    <t xml:space="preserve">Adhesivos / Selladores DG</t>
  </si>
  <si>
    <t xml:space="preserve">May 2026 (pendiente embarque)</t>
  </si>
  <si>
    <t xml:space="preserve">Carga peligrosa Clase 2.1 / UN1950 — requiere docs IMDG y aprobación naviera</t>
  </si>
  <si>
    <t xml:space="preserve">SO GIANT OIL SEAL</t>
  </si>
  <si>
    <t xml:space="preserve">Marítimo LCL</t>
  </si>
  <si>
    <t xml:space="preserve">Sep 2025</t>
  </si>
  <si>
    <t xml:space="preserve">2 envíos LCL exitosos. T/T 55-60d. Rate USD 220/CBM</t>
  </si>
  <si>
    <t xml:space="preserve">CRC Industries Inc.</t>
  </si>
  <si>
    <t xml:space="preserve">Marítimo FCL/LCL</t>
  </si>
  <si>
    <t xml:space="preserve">May 2026 (en despacho)</t>
  </si>
  <si>
    <t xml:space="preserve">NCM 3214.10. LCL desde Miami confirmado exitoso</t>
  </si>
  <si>
    <t xml:space="preserve">Feb 2026</t>
  </si>
  <si>
    <t xml:space="preserve">WR 101014738. Sin incidencias</t>
  </si>
  <si>
    <t xml:space="preserve">HYDRONLUBZ (JHF 4X)</t>
  </si>
  <si>
    <t xml:space="preserve">Engrasadoras / Bombas de engrase</t>
  </si>
  <si>
    <t xml:space="preserve">comex@hydronlubz.com.br</t>
  </si>
  <si>
    <t xml:space="preserve">Camila da Silva</t>
  </si>
  <si>
    <t xml:space="preserve">Terrestre (BTR)</t>
  </si>
  <si>
    <t xml:space="preserve">Mar 2026</t>
  </si>
  <si>
    <t xml:space="preserve">Incidencia: 1ª transferencia devuelta 23/02/2026 (cuenta inválida). Re-enviada OK. Faltaron 10 uds en pedido 45.2025</t>
  </si>
  <si>
    <t xml:space="preserve">VIPAL Borrachas</t>
  </si>
  <si>
    <t xml:space="preserve">Parches / Material neumáticos</t>
  </si>
  <si>
    <t xml:space="preserve">rafaela.costa@vipal.com</t>
  </si>
  <si>
    <t xml:space="preserve">Rafaela Cabral Costa</t>
  </si>
  <si>
    <t xml:space="preserve">Activo — reorder pendiente</t>
  </si>
  <si>
    <t xml:space="preserve">Stock en alerta mínima (Vipal 360 - 150 días). Nuevo pedido pendiente</t>
  </si>
  <si>
    <t xml:space="preserve">AGEL Aneis Gaxetas</t>
  </si>
  <si>
    <t xml:space="preserve">Sellos / Gaxetas / Equipamentos</t>
  </si>
  <si>
    <t xml:space="preserve">alexandre@agelaneis.com.br / marcos@agelaneis.com.br</t>
  </si>
  <si>
    <t xml:space="preserve">Alexandre / Marcos</t>
  </si>
  <si>
    <t xml:space="preserve">Nov 2024</t>
  </si>
  <si>
    <t xml:space="preserve">Anticipo pagado exitosamente. Sin incidencias en la operación</t>
  </si>
  <si>
    <t xml:space="preserve">PC Products International</t>
  </si>
  <si>
    <t xml:space="preserve">Herramientas industriales</t>
  </si>
  <si>
    <t xml:space="preserve">suwanna@pcproductsinter.com</t>
  </si>
  <si>
    <t xml:space="preserve">Suwanna Lobunchongsook</t>
  </si>
  <si>
    <t xml:space="preserve">CIF ASU</t>
  </si>
  <si>
    <t xml:space="preserve">Marítimo CIF</t>
  </si>
  <si>
    <t xml:space="preserve">May 2026 (pagado)</t>
  </si>
  <si>
    <t xml:space="preserve">USD 56,422.55 pagado y confirmado 12/05/2026. PI 2026/056 (PO 40925)</t>
  </si>
  <si>
    <t xml:space="preserve">Herramientas gomería (Picos doble)</t>
  </si>
  <si>
    <t xml:space="preserve">Ene 2026 (anticipo)</t>
  </si>
  <si>
    <t xml:space="preserve">⚠ CRÍTICO — sin entrega</t>
  </si>
  <si>
    <t xml:space="preserve">Anticipo SWIFT enviado 20/01/2026. 4+ meses sin entrega. Stock: 6 uds Pico Doble Curvo. SEMAR 360 alerta activa 'Con Oc'</t>
  </si>
  <si>
    <t xml:space="preserve">Carga IMO / Adhesivos</t>
  </si>
  <si>
    <t xml:space="preserve">Marítimo FCL-IMO</t>
  </si>
  <si>
    <t xml:space="preserve">Carga IMO exitosa. Costo flete: USD 6,125.04</t>
  </si>
  <si>
    <t xml:space="preserve">Prioridad</t>
  </si>
  <si>
    <t xml:space="preserve">Nivel</t>
  </si>
  <si>
    <t xml:space="preserve">Operación_REF</t>
  </si>
  <si>
    <t xml:space="preserve">Tipo_Alerta</t>
  </si>
  <si>
    <t xml:space="preserve">Descripción</t>
  </si>
  <si>
    <t xml:space="preserve">Fecha_Evento</t>
  </si>
  <si>
    <t xml:space="preserve">Días_Transcurridos</t>
  </si>
  <si>
    <t xml:space="preserve">Acción_Requerida</t>
  </si>
  <si>
    <t xml:space="preserve">Responsable</t>
  </si>
  <si>
    <t xml:space="preserve">Estado_Acción</t>
  </si>
  <si>
    <t xml:space="preserve">🔴 URGENTE</t>
  </si>
  <si>
    <t xml:space="preserve">Anticipo SWIFT enviado 20/01/2026. 4+ meses sin entrega. Stock crítico: 6 uds Pico Doble Curvo.</t>
  </si>
  <si>
    <t xml:space="preserve">Contactar proveedor para confirmar ETA. Evaluar compra local. Si no hay respuesta en 72h, iniciar recupero de anticipo.</t>
  </si>
  <si>
    <t xml:space="preserve">Oscar Galeano / Edgar Semidei</t>
  </si>
  <si>
    <t xml:space="preserve">Abierta</t>
  </si>
  <si>
    <t xml:space="preserve">BL borrador sin confirmar</t>
  </si>
  <si>
    <t xml:space="preserve">Borrador BL enviado por Rolitrans el 12/05/2026. ETD 30/05 en KOTA PAHLAWAN. Carga DG Clase 2.1.</t>
  </si>
  <si>
    <t xml:space="preserve">Confirmar datos BL a Rafael Benítez (Rolitrans) hoy. Verificar documentación DG completa.</t>
  </si>
  <si>
    <t xml:space="preserve">Oscar Galeano</t>
  </si>
  <si>
    <t xml:space="preserve">Confirmación de pago USD 250,000</t>
  </si>
  <si>
    <t xml:space="preserve">SWIFT enviado 02/05/2026. Sin confirmación formal de recepción por Rotar. Carga en tránsito.</t>
  </si>
  <si>
    <t xml:space="preserve">Solicitar a australia@rotar.com.tw confirmación de recepción del pago. Adjuntar SWIFT.</t>
  </si>
  <si>
    <t xml:space="preserve">Edgar Semidei / Leticia Semidei</t>
  </si>
  <si>
    <t xml:space="preserve">https://mail.google.com/mail/u/0/#all/19d9c24df3375e5f</t>
  </si>
  <si>
    <t xml:space="preserve">Días libres por vencer</t>
  </si>
  <si>
    <t xml:space="preserve">ATA 23/04/2026 en Puerto Seguro Fluvial. 21 días libres. ~19 días consumidos. Despacho: Carpeta 228.</t>
  </si>
  <si>
    <t xml:space="preserve">Coordinar retiro urgente con Rieder (carpeta 228, rendición 933-240). Confirmar fecha retiro al contenedor.</t>
  </si>
  <si>
    <t xml:space="preserve">En proceso</t>
  </si>
  <si>
    <t xml:space="preserve">🟡 MEDIA</t>
  </si>
  <si>
    <t xml:space="preserve">Despacho aduanero en proceso</t>
  </si>
  <si>
    <t xml:space="preserve">Carga llegó ~04/05/2026. Docs entregados a Rieder vía Cacoabbo (31/03).</t>
  </si>
  <si>
    <t xml:space="preserve">Confirmar estado despacho y fecha retiro con Rieder.</t>
  </si>
  <si>
    <t xml:space="preserve">Stock en alerta — reorder pendiente</t>
  </si>
  <si>
    <t xml:space="preserve">Vipal 360 - 150 días triggered para 50 ítems. Último pedido ago 2025 (Order 631626).</t>
  </si>
  <si>
    <t xml:space="preserve">Iniciar nuevo pedido con rafaela.costa@vipal.com. Revisar cantidades basadas en alerta 360.</t>
  </si>
  <si>
    <t xml:space="preserve">Edgar Semidei</t>
  </si>
  <si>
    <t xml:space="preserve">Pendiente</t>
  </si>
  <si>
    <t xml:space="preserve">HYDRONLUBZ</t>
  </si>
  <si>
    <t xml:space="preserve">Riesgo transferencias internacionales</t>
  </si>
  <si>
    <t xml:space="preserve">1ª transferencia devuelta por cuenta inválida (23/02/2026). Resuelto pero requiere validar datos bancarios.</t>
  </si>
  <si>
    <t xml:space="preserve">Confirmar y actualizar datos bancarios de HYDRONLUBZ antes del próximo pedido. Solicitar IBAN/SWIFT actualizado.</t>
  </si>
  <si>
    <t xml:space="preserve">/Leticia Semidei</t>
  </si>
  <si>
    <t xml:space="preserve">Resuelto</t>
  </si>
  <si>
    <t xml:space="preserve">https://mail.google.com/mail/u/0/#all/19c9f39e69fa695c</t>
  </si>
  <si>
    <t xml:space="preserve">🔵 NORMAL</t>
  </si>
  <si>
    <t xml:space="preserve">Fluvial BUE→ASU por coordinar</t>
  </si>
  <si>
    <t xml:space="preserve">ETA Buenos Aires 24/05/2026. Necesita nominación de buque fluvial.</t>
  </si>
  <si>
    <t xml:space="preserve">Coordinar con Rolitrans nominación fluvial BUE→Terport Villeta semana del 19/05. Preferencia: Terport.</t>
  </si>
  <si>
    <t xml:space="preserve">WARTSILA</t>
  </si>
  <si>
    <t xml:space="preserve">Actualización datos bancarios (cliente)</t>
  </si>
  <si>
    <t xml:space="preserve">Adobe Sign pendiente para actualización de datos en SAP Business Network. Wartsila detectó inconsistencia.</t>
  </si>
  <si>
    <t xml:space="preserve">Completar formulario Adobe Sign con datos bancarios correctos. Enviar doc. de respaldo.</t>
  </si>
  <si>
    <t xml:space="preserve">https://mail.google.com/mail/u/0/#all/19dbab02f88592a7</t>
  </si>
  <si>
    <t xml:space="preserve">KPI</t>
  </si>
  <si>
    <t xml:space="preserve">Valor</t>
  </si>
  <si>
    <t xml:space="preserve">Unidad</t>
  </si>
  <si>
    <t xml:space="preserve">Nota</t>
  </si>
  <si>
    <t xml:space="preserve">Total operaciones</t>
  </si>
  <si>
    <t xml:space="preserve">unidades</t>
  </si>
  <si>
    <t xml:space="preserve">Marítimas + terrestres Brasil (mayo 2024 – mayo 2026)</t>
  </si>
  <si>
    <t xml:space="preserve">Operaciones completadas</t>
  </si>
  <si>
    <t xml:space="preserve">Incluye todas las recibidas y despachadas</t>
  </si>
  <si>
    <t xml:space="preserve">Operaciones activas</t>
  </si>
  <si>
    <t xml:space="preserve">En despacho + tránsito + pendiente embarque</t>
  </si>
  <si>
    <t xml:space="preserve">Proveedores activos</t>
  </si>
  <si>
    <t xml:space="preserve">proveedores</t>
  </si>
  <si>
    <t xml:space="preserve">10 proveedores + SEMAR 3059997</t>
  </si>
  <si>
    <t xml:space="preserve">Fletes documentados (USD)</t>
  </si>
  <si>
    <t xml:space="preserve">USD</t>
  </si>
  <si>
    <t xml:space="preserve">5 operaciones con costo confirmado</t>
  </si>
  <si>
    <t xml:space="preserve">Valor comprometido confirmado</t>
  </si>
  <si>
    <t xml:space="preserve">PC Products (56,422.55) + Rotar (250,000)</t>
  </si>
  <si>
    <t xml:space="preserve">Flete promedio confirmado (FCL)</t>
  </si>
  <si>
    <t xml:space="preserve">Promedio de 3 FCL con dato</t>
  </si>
  <si>
    <t xml:space="preserve">Flete LCL Asia (USD/CBM)</t>
  </si>
  <si>
    <t xml:space="preserve">USD/CBM</t>
  </si>
  <si>
    <t xml:space="preserve">Taiwán → Paraguay via Rolitrans</t>
  </si>
  <si>
    <t xml:space="preserve">T/T promedio marítimo Asia</t>
  </si>
  <si>
    <t xml:space="preserve">días</t>
  </si>
  <si>
    <t xml:space="preserve">Promedio FCL + LCL rutas Asia-Pacífico</t>
  </si>
  <si>
    <t xml:space="preserve">T/T promedio marítimo USA</t>
  </si>
  <si>
    <t xml:space="preserve">Promedio FCL + LCL rutas Miami/FL</t>
  </si>
  <si>
    <t xml:space="preserve">T/T promedio terrestre Brasil</t>
  </si>
  <si>
    <t xml:space="preserve">BTR Transportes → Puerto PAKSA</t>
  </si>
  <si>
    <t xml:space="preserve">Anticipos sin entrega</t>
  </si>
  <si>
    <t xml:space="preserve">SCHWEERS — 4+ meses</t>
  </si>
  <si>
    <t xml:space="preserve">Break-even LCL vs FCL</t>
  </si>
  <si>
    <t xml:space="preserve">CBM</t>
  </si>
  <si>
    <t xml:space="preserve">Ruta Asia-Pacífico ($220/CBM vs FCL $3,175/cont)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</si>
</sst>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332"/>
        <bgColor rgb="FF333300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FEDD5"/>
      </patternFill>
    </fill>
    <fill>
      <patternFill patternType="solid">
        <fgColor rgb="FFFEF9C3"/>
        <bgColor rgb="FFFFEDD5"/>
      </patternFill>
    </fill>
    <fill>
      <patternFill patternType="solid">
        <fgColor rgb="FFFFEDD5"/>
        <bgColor rgb="FFFEE2E2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A2332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DBEA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EDD5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11"/>
    <col collapsed="false" customWidth="true" hidden="false" outlineLevel="0" max="4" min="4" style="1" width="19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28"/>
    <col collapsed="false" customWidth="true" hidden="false" outlineLevel="0" max="10" min="9" style="1" width="12"/>
    <col collapsed="false" customWidth="true" hidden="false" outlineLevel="0" max="12" min="11" style="1" width="10"/>
    <col collapsed="false" customWidth="true" hidden="false" outlineLevel="0" max="13" min="13" style="1" width="23"/>
    <col collapsed="false" customWidth="true" hidden="false" outlineLevel="0" max="14" min="14" style="1" width="14"/>
    <col collapsed="false" customWidth="true" hidden="false" outlineLevel="0" max="15" min="15" style="1" width="17"/>
    <col collapsed="false" customWidth="true" hidden="false" outlineLevel="0" max="16" min="16" style="1" width="22"/>
    <col collapsed="false" customWidth="true" hidden="false" outlineLevel="0" max="17" min="17" style="1" width="40"/>
    <col collapsed="false" customWidth="true" hidden="false" outlineLevel="0" max="18" min="18" style="1" width="22"/>
    <col collapsed="false" customWidth="true" hidden="false" outlineLevel="0" max="19" min="19" style="1" width="40"/>
    <col collapsed="false" customWidth="true" hidden="false" outlineLevel="0" max="20" min="20" style="1" width="24"/>
    <col collapsed="false" customWidth="true" hidden="false" outlineLevel="0" max="21" min="21" style="1" width="17"/>
    <col collapsed="false" customWidth="true" hidden="false" outlineLevel="0" max="22" min="22" style="1" width="22"/>
    <col collapsed="false" customWidth="true" hidden="false" outlineLevel="0" max="23" min="23" style="1" width="45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true" outlineLevel="0" collapsed="false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4" t="n">
        <v>45597</v>
      </c>
      <c r="J2" s="4" t="n">
        <v>45616</v>
      </c>
      <c r="K2" s="3" t="s">
        <v>30</v>
      </c>
      <c r="L2" s="3" t="s">
        <v>31</v>
      </c>
      <c r="M2" s="3" t="s">
        <v>32</v>
      </c>
      <c r="N2" s="3" t="n">
        <v>5</v>
      </c>
      <c r="O2" s="3"/>
      <c r="P2" s="3" t="s">
        <v>33</v>
      </c>
      <c r="Q2" s="3" t="s">
        <v>34</v>
      </c>
      <c r="R2" s="3"/>
      <c r="S2" s="3" t="s">
        <v>35</v>
      </c>
      <c r="T2" s="3" t="s">
        <v>36</v>
      </c>
      <c r="U2" s="3" t="s">
        <v>29</v>
      </c>
      <c r="V2" s="3" t="s">
        <v>37</v>
      </c>
      <c r="W2" s="3" t="s">
        <v>38</v>
      </c>
    </row>
    <row r="3" customFormat="false" ht="15" hidden="false" customHeight="true" outlineLevel="0" collapsed="false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6" t="n">
        <v>45778</v>
      </c>
      <c r="J3" s="6" t="n">
        <v>45869</v>
      </c>
      <c r="K3" s="5" t="s">
        <v>47</v>
      </c>
      <c r="L3" s="5" t="s">
        <v>48</v>
      </c>
      <c r="M3" s="5" t="s">
        <v>49</v>
      </c>
      <c r="N3" s="5" t="n">
        <v>75</v>
      </c>
      <c r="O3" s="5"/>
      <c r="P3" s="5" t="s">
        <v>33</v>
      </c>
      <c r="Q3" s="5" t="s">
        <v>50</v>
      </c>
      <c r="R3" s="5"/>
      <c r="S3" s="5" t="s">
        <v>35</v>
      </c>
      <c r="T3" s="5" t="s">
        <v>51</v>
      </c>
      <c r="U3" s="5" t="s">
        <v>52</v>
      </c>
      <c r="V3" s="5" t="s">
        <v>37</v>
      </c>
      <c r="W3" s="5" t="s">
        <v>53</v>
      </c>
    </row>
    <row r="4" customFormat="false" ht="15" hidden="false" customHeight="true" outlineLevel="0" collapsed="false">
      <c r="A4" s="3" t="s">
        <v>54</v>
      </c>
      <c r="B4" s="3" t="s">
        <v>55</v>
      </c>
      <c r="C4" s="3" t="s">
        <v>41</v>
      </c>
      <c r="D4" s="3" t="s">
        <v>42</v>
      </c>
      <c r="E4" s="3" t="s">
        <v>43</v>
      </c>
      <c r="F4" s="3" t="s">
        <v>56</v>
      </c>
      <c r="G4" s="3" t="s">
        <v>57</v>
      </c>
      <c r="H4" s="3" t="s">
        <v>58</v>
      </c>
      <c r="I4" s="4" t="n">
        <v>45809</v>
      </c>
      <c r="J4" s="4" t="n">
        <v>45838</v>
      </c>
      <c r="K4" s="3" t="s">
        <v>59</v>
      </c>
      <c r="L4" s="3" t="s">
        <v>48</v>
      </c>
      <c r="M4" s="3" t="s">
        <v>60</v>
      </c>
      <c r="N4" s="3" t="n">
        <v>55</v>
      </c>
      <c r="O4" s="3" t="n">
        <v>743.23</v>
      </c>
      <c r="P4" s="3" t="s">
        <v>33</v>
      </c>
      <c r="Q4" s="3" t="s">
        <v>50</v>
      </c>
      <c r="R4" s="3"/>
      <c r="S4" s="3" t="s">
        <v>35</v>
      </c>
      <c r="T4" s="3" t="s">
        <v>61</v>
      </c>
      <c r="U4" s="3" t="s">
        <v>52</v>
      </c>
      <c r="V4" s="3" t="s">
        <v>37</v>
      </c>
      <c r="W4" s="3" t="s">
        <v>62</v>
      </c>
    </row>
    <row r="5" customFormat="false" ht="15" hidden="false" customHeight="true" outlineLevel="0" collapsed="false">
      <c r="A5" s="5" t="s">
        <v>63</v>
      </c>
      <c r="B5" s="5" t="s">
        <v>64</v>
      </c>
      <c r="C5" s="5" t="s">
        <v>41</v>
      </c>
      <c r="D5" s="5" t="s">
        <v>42</v>
      </c>
      <c r="E5" s="5" t="s">
        <v>43</v>
      </c>
      <c r="F5" s="5" t="s">
        <v>56</v>
      </c>
      <c r="G5" s="5" t="s">
        <v>57</v>
      </c>
      <c r="H5" s="5" t="s">
        <v>65</v>
      </c>
      <c r="I5" s="6" t="n">
        <v>45833</v>
      </c>
      <c r="J5" s="6" t="n">
        <v>45903</v>
      </c>
      <c r="K5" s="5" t="s">
        <v>66</v>
      </c>
      <c r="L5" s="5" t="s">
        <v>48</v>
      </c>
      <c r="M5" s="5" t="s">
        <v>60</v>
      </c>
      <c r="N5" s="5" t="n">
        <v>60</v>
      </c>
      <c r="O5" s="5" t="n">
        <v>743.23</v>
      </c>
      <c r="P5" s="5" t="s">
        <v>33</v>
      </c>
      <c r="Q5" s="5" t="s">
        <v>50</v>
      </c>
      <c r="R5" s="5"/>
      <c r="S5" s="5" t="s">
        <v>35</v>
      </c>
      <c r="T5" s="5" t="s">
        <v>61</v>
      </c>
      <c r="U5" s="5" t="s">
        <v>52</v>
      </c>
      <c r="V5" s="5" t="s">
        <v>37</v>
      </c>
      <c r="W5" s="5" t="s">
        <v>67</v>
      </c>
    </row>
    <row r="6" customFormat="false" ht="15" hidden="false" customHeight="true" outlineLevel="0" collapsed="false">
      <c r="A6" s="3" t="s">
        <v>68</v>
      </c>
      <c r="B6" s="3" t="s">
        <v>69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4" t="n">
        <v>45797</v>
      </c>
      <c r="J6" s="4" t="n">
        <v>45807</v>
      </c>
      <c r="K6" s="3" t="s">
        <v>70</v>
      </c>
      <c r="L6" s="3" t="s">
        <v>48</v>
      </c>
      <c r="M6" s="3" t="s">
        <v>32</v>
      </c>
      <c r="N6" s="3" t="n">
        <v>10</v>
      </c>
      <c r="O6" s="3"/>
      <c r="P6" s="3" t="s">
        <v>33</v>
      </c>
      <c r="Q6" s="3" t="s">
        <v>71</v>
      </c>
      <c r="R6" s="3"/>
      <c r="S6" s="3" t="s">
        <v>72</v>
      </c>
      <c r="T6" s="3" t="s">
        <v>73</v>
      </c>
      <c r="U6" s="3" t="s">
        <v>29</v>
      </c>
      <c r="V6" s="3" t="s">
        <v>37</v>
      </c>
      <c r="W6" s="3" t="s">
        <v>74</v>
      </c>
    </row>
    <row r="7" customFormat="false" ht="15" hidden="false" customHeight="true" outlineLevel="0" collapsed="false">
      <c r="A7" s="5" t="s">
        <v>75</v>
      </c>
      <c r="B7" s="5" t="s">
        <v>76</v>
      </c>
      <c r="C7" s="5" t="s">
        <v>77</v>
      </c>
      <c r="D7" s="5" t="s">
        <v>78</v>
      </c>
      <c r="E7" s="5" t="s">
        <v>43</v>
      </c>
      <c r="F7" s="5" t="s">
        <v>79</v>
      </c>
      <c r="G7" s="5" t="s">
        <v>80</v>
      </c>
      <c r="H7" s="5" t="s">
        <v>81</v>
      </c>
      <c r="I7" s="6" t="n">
        <v>45877</v>
      </c>
      <c r="J7" s="6" t="n">
        <v>45919</v>
      </c>
      <c r="K7" s="5" t="s">
        <v>66</v>
      </c>
      <c r="L7" s="5" t="s">
        <v>48</v>
      </c>
      <c r="M7" s="5" t="s">
        <v>49</v>
      </c>
      <c r="N7" s="5" t="n">
        <v>42</v>
      </c>
      <c r="O7" s="5" t="n">
        <v>6125.04</v>
      </c>
      <c r="P7" s="5" t="s">
        <v>33</v>
      </c>
      <c r="Q7" s="5" t="s">
        <v>50</v>
      </c>
      <c r="R7" s="5"/>
      <c r="S7" s="5" t="s">
        <v>82</v>
      </c>
      <c r="T7" s="5" t="s">
        <v>83</v>
      </c>
      <c r="U7" s="5" t="s">
        <v>52</v>
      </c>
      <c r="V7" s="5" t="s">
        <v>37</v>
      </c>
      <c r="W7" s="5" t="s">
        <v>84</v>
      </c>
    </row>
    <row r="8" customFormat="false" ht="15" hidden="false" customHeight="true" outlineLevel="0" collapsed="false">
      <c r="A8" s="3" t="s">
        <v>85</v>
      </c>
      <c r="B8" s="3" t="s">
        <v>86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29</v>
      </c>
      <c r="I8" s="4" t="n">
        <v>45892</v>
      </c>
      <c r="J8" s="4" t="n">
        <v>45910</v>
      </c>
      <c r="K8" s="3" t="s">
        <v>66</v>
      </c>
      <c r="L8" s="3" t="s">
        <v>48</v>
      </c>
      <c r="M8" s="3" t="s">
        <v>32</v>
      </c>
      <c r="N8" s="3" t="n">
        <v>18</v>
      </c>
      <c r="O8" s="3"/>
      <c r="P8" s="3" t="s">
        <v>33</v>
      </c>
      <c r="Q8" s="3" t="s">
        <v>87</v>
      </c>
      <c r="R8" s="3"/>
      <c r="S8" s="3" t="s">
        <v>88</v>
      </c>
      <c r="T8" s="3" t="s">
        <v>89</v>
      </c>
      <c r="U8" s="3" t="s">
        <v>29</v>
      </c>
      <c r="V8" s="3" t="s">
        <v>37</v>
      </c>
      <c r="W8" s="3" t="s">
        <v>90</v>
      </c>
    </row>
    <row r="9" customFormat="false" ht="15" hidden="false" customHeight="true" outlineLevel="0" collapsed="false">
      <c r="A9" s="5" t="s">
        <v>91</v>
      </c>
      <c r="B9" s="5" t="s">
        <v>92</v>
      </c>
      <c r="C9" s="5" t="s">
        <v>77</v>
      </c>
      <c r="D9" s="5" t="s">
        <v>78</v>
      </c>
      <c r="E9" s="5" t="s">
        <v>43</v>
      </c>
      <c r="F9" s="5" t="s">
        <v>93</v>
      </c>
      <c r="G9" s="5" t="s">
        <v>28</v>
      </c>
      <c r="H9" s="5" t="s">
        <v>94</v>
      </c>
      <c r="I9" s="6" t="n">
        <v>45956</v>
      </c>
      <c r="J9" s="6" t="n">
        <v>45981</v>
      </c>
      <c r="K9" s="5" t="s">
        <v>30</v>
      </c>
      <c r="L9" s="5" t="s">
        <v>48</v>
      </c>
      <c r="M9" s="5" t="s">
        <v>28</v>
      </c>
      <c r="N9" s="5" t="n">
        <v>25</v>
      </c>
      <c r="O9" s="5"/>
      <c r="P9" s="5" t="s">
        <v>33</v>
      </c>
      <c r="Q9" s="5" t="s">
        <v>50</v>
      </c>
      <c r="R9" s="5"/>
      <c r="S9" s="5" t="s">
        <v>35</v>
      </c>
      <c r="T9" s="5" t="s">
        <v>83</v>
      </c>
      <c r="U9" s="5" t="s">
        <v>52</v>
      </c>
      <c r="V9" s="5" t="s">
        <v>37</v>
      </c>
      <c r="W9" s="5" t="s">
        <v>95</v>
      </c>
    </row>
    <row r="10" customFormat="false" ht="15" hidden="false" customHeight="true" outlineLevel="0" collapsed="false">
      <c r="A10" s="3" t="s">
        <v>96</v>
      </c>
      <c r="B10" s="3" t="s">
        <v>97</v>
      </c>
      <c r="C10" s="3" t="s">
        <v>98</v>
      </c>
      <c r="D10" s="3" t="s">
        <v>42</v>
      </c>
      <c r="E10" s="3" t="s">
        <v>43</v>
      </c>
      <c r="F10" s="3" t="s">
        <v>93</v>
      </c>
      <c r="G10" s="3" t="s">
        <v>28</v>
      </c>
      <c r="H10" s="3" t="s">
        <v>99</v>
      </c>
      <c r="I10" s="4" t="n">
        <v>45935</v>
      </c>
      <c r="J10" s="4" t="n">
        <v>45986</v>
      </c>
      <c r="K10" s="3" t="s">
        <v>30</v>
      </c>
      <c r="L10" s="3" t="s">
        <v>48</v>
      </c>
      <c r="M10" s="3" t="s">
        <v>28</v>
      </c>
      <c r="N10" s="3" t="n">
        <v>51</v>
      </c>
      <c r="O10" s="3"/>
      <c r="P10" s="3" t="s">
        <v>33</v>
      </c>
      <c r="Q10" s="3" t="s">
        <v>50</v>
      </c>
      <c r="R10" s="3"/>
      <c r="S10" s="3" t="s">
        <v>100</v>
      </c>
      <c r="T10" s="3" t="s">
        <v>83</v>
      </c>
      <c r="U10" s="3" t="s">
        <v>52</v>
      </c>
      <c r="V10" s="3" t="s">
        <v>37</v>
      </c>
      <c r="W10" s="3" t="s">
        <v>101</v>
      </c>
    </row>
    <row r="11" customFormat="false" ht="15" hidden="false" customHeight="true" outlineLevel="0" collapsed="false">
      <c r="A11" s="5" t="s">
        <v>102</v>
      </c>
      <c r="B11" s="5" t="s">
        <v>40</v>
      </c>
      <c r="C11" s="5" t="s">
        <v>41</v>
      </c>
      <c r="D11" s="5" t="s">
        <v>42</v>
      </c>
      <c r="E11" s="5" t="s">
        <v>43</v>
      </c>
      <c r="F11" s="5" t="s">
        <v>93</v>
      </c>
      <c r="G11" s="5" t="s">
        <v>28</v>
      </c>
      <c r="H11" s="5" t="s">
        <v>103</v>
      </c>
      <c r="I11" s="6" t="n">
        <v>45968</v>
      </c>
      <c r="J11" s="6" t="n">
        <v>46055</v>
      </c>
      <c r="K11" s="5" t="s">
        <v>104</v>
      </c>
      <c r="L11" s="5" t="s">
        <v>105</v>
      </c>
      <c r="M11" s="5" t="s">
        <v>49</v>
      </c>
      <c r="N11" s="5" t="n">
        <v>87</v>
      </c>
      <c r="O11" s="5"/>
      <c r="P11" s="5" t="s">
        <v>33</v>
      </c>
      <c r="Q11" s="5" t="s">
        <v>50</v>
      </c>
      <c r="R11" s="5"/>
      <c r="S11" s="5" t="s">
        <v>106</v>
      </c>
      <c r="T11" s="5" t="s">
        <v>51</v>
      </c>
      <c r="U11" s="5" t="s">
        <v>52</v>
      </c>
      <c r="V11" s="5" t="s">
        <v>37</v>
      </c>
      <c r="W11" s="5" t="s">
        <v>107</v>
      </c>
    </row>
    <row r="12" customFormat="false" ht="15" hidden="false" customHeight="true" outlineLevel="0" collapsed="false">
      <c r="A12" s="7" t="s">
        <v>108</v>
      </c>
      <c r="B12" s="7" t="s">
        <v>109</v>
      </c>
      <c r="C12" s="7" t="s">
        <v>28</v>
      </c>
      <c r="D12" s="7" t="s">
        <v>28</v>
      </c>
      <c r="E12" s="7" t="s">
        <v>26</v>
      </c>
      <c r="F12" s="7" t="s">
        <v>28</v>
      </c>
      <c r="G12" s="7" t="s">
        <v>28</v>
      </c>
      <c r="H12" s="7" t="s">
        <v>28</v>
      </c>
      <c r="I12" s="8" t="n">
        <v>46042</v>
      </c>
      <c r="J12" s="7"/>
      <c r="K12" s="7" t="s">
        <v>28</v>
      </c>
      <c r="L12" s="7" t="s">
        <v>105</v>
      </c>
      <c r="M12" s="7" t="s">
        <v>28</v>
      </c>
      <c r="N12" s="7"/>
      <c r="O12" s="7"/>
      <c r="P12" s="7" t="s">
        <v>110</v>
      </c>
      <c r="Q12" s="7" t="s">
        <v>111</v>
      </c>
      <c r="R12" s="7"/>
      <c r="S12" s="7" t="s">
        <v>112</v>
      </c>
      <c r="T12" s="7" t="s">
        <v>113</v>
      </c>
      <c r="U12" s="7" t="s">
        <v>28</v>
      </c>
      <c r="V12" s="7" t="s">
        <v>28</v>
      </c>
      <c r="W12" s="7" t="s">
        <v>114</v>
      </c>
    </row>
    <row r="13" customFormat="false" ht="15" hidden="false" customHeight="true" outlineLevel="0" collapsed="false">
      <c r="A13" s="5" t="s">
        <v>115</v>
      </c>
      <c r="B13" s="5" t="s">
        <v>116</v>
      </c>
      <c r="C13" s="5" t="s">
        <v>77</v>
      </c>
      <c r="D13" s="5" t="s">
        <v>78</v>
      </c>
      <c r="E13" s="5" t="s">
        <v>43</v>
      </c>
      <c r="F13" s="5" t="s">
        <v>93</v>
      </c>
      <c r="G13" s="5" t="s">
        <v>28</v>
      </c>
      <c r="H13" s="5" t="s">
        <v>28</v>
      </c>
      <c r="I13" s="6" t="n">
        <v>46027</v>
      </c>
      <c r="J13" s="6" t="n">
        <v>46072</v>
      </c>
      <c r="K13" s="5" t="s">
        <v>104</v>
      </c>
      <c r="L13" s="5" t="s">
        <v>105</v>
      </c>
      <c r="M13" s="5" t="s">
        <v>49</v>
      </c>
      <c r="N13" s="5" t="n">
        <v>45</v>
      </c>
      <c r="O13" s="5"/>
      <c r="P13" s="5" t="s">
        <v>33</v>
      </c>
      <c r="Q13" s="5" t="s">
        <v>50</v>
      </c>
      <c r="R13" s="5"/>
      <c r="S13" s="5" t="s">
        <v>35</v>
      </c>
      <c r="T13" s="5" t="s">
        <v>83</v>
      </c>
      <c r="U13" s="5" t="s">
        <v>52</v>
      </c>
      <c r="V13" s="5" t="s">
        <v>37</v>
      </c>
      <c r="W13" s="5" t="s">
        <v>117</v>
      </c>
    </row>
    <row r="14" customFormat="false" ht="15" hidden="false" customHeight="true" outlineLevel="0" collapsed="false">
      <c r="A14" s="3" t="s">
        <v>118</v>
      </c>
      <c r="B14" s="3" t="s">
        <v>69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29</v>
      </c>
      <c r="I14" s="4" t="n">
        <v>46082</v>
      </c>
      <c r="J14" s="4" t="n">
        <v>46102</v>
      </c>
      <c r="K14" s="3" t="s">
        <v>119</v>
      </c>
      <c r="L14" s="3" t="s">
        <v>105</v>
      </c>
      <c r="M14" s="3" t="s">
        <v>120</v>
      </c>
      <c r="N14" s="3" t="n">
        <v>20</v>
      </c>
      <c r="O14" s="3"/>
      <c r="P14" s="3" t="s">
        <v>33</v>
      </c>
      <c r="Q14" s="3" t="s">
        <v>121</v>
      </c>
      <c r="R14" s="3"/>
      <c r="S14" s="3" t="s">
        <v>122</v>
      </c>
      <c r="T14" s="3" t="s">
        <v>73</v>
      </c>
      <c r="U14" s="3" t="s">
        <v>29</v>
      </c>
      <c r="V14" s="3" t="s">
        <v>37</v>
      </c>
      <c r="W14" s="3" t="s">
        <v>123</v>
      </c>
    </row>
    <row r="15" customFormat="false" ht="15" hidden="false" customHeight="true" outlineLevel="0" collapsed="false">
      <c r="A15" s="9" t="s">
        <v>124</v>
      </c>
      <c r="B15" s="9" t="s">
        <v>125</v>
      </c>
      <c r="C15" s="9" t="s">
        <v>98</v>
      </c>
      <c r="D15" s="9" t="s">
        <v>42</v>
      </c>
      <c r="E15" s="9" t="s">
        <v>43</v>
      </c>
      <c r="F15" s="9" t="s">
        <v>126</v>
      </c>
      <c r="G15" s="9" t="s">
        <v>127</v>
      </c>
      <c r="H15" s="9" t="s">
        <v>128</v>
      </c>
      <c r="I15" s="10" t="n">
        <v>46054</v>
      </c>
      <c r="J15" s="10" t="n">
        <v>46135</v>
      </c>
      <c r="K15" s="9" t="s">
        <v>129</v>
      </c>
      <c r="L15" s="9" t="s">
        <v>105</v>
      </c>
      <c r="M15" s="9" t="s">
        <v>130</v>
      </c>
      <c r="N15" s="9" t="n">
        <v>90</v>
      </c>
      <c r="O15" s="9" t="n">
        <v>7650</v>
      </c>
      <c r="P15" s="9" t="s">
        <v>131</v>
      </c>
      <c r="Q15" s="9" t="s">
        <v>132</v>
      </c>
      <c r="R15" s="9"/>
      <c r="S15" s="9" t="s">
        <v>133</v>
      </c>
      <c r="T15" s="9" t="s">
        <v>51</v>
      </c>
      <c r="U15" s="9" t="s">
        <v>52</v>
      </c>
      <c r="V15" s="9" t="s">
        <v>37</v>
      </c>
      <c r="W15" s="9" t="s">
        <v>134</v>
      </c>
    </row>
    <row r="16" customFormat="false" ht="15" hidden="false" customHeight="true" outlineLevel="0" collapsed="false">
      <c r="A16" s="9" t="s">
        <v>135</v>
      </c>
      <c r="B16" s="9" t="s">
        <v>136</v>
      </c>
      <c r="C16" s="9" t="s">
        <v>77</v>
      </c>
      <c r="D16" s="9" t="s">
        <v>78</v>
      </c>
      <c r="E16" s="9" t="s">
        <v>43</v>
      </c>
      <c r="F16" s="9" t="s">
        <v>137</v>
      </c>
      <c r="G16" s="9" t="s">
        <v>28</v>
      </c>
      <c r="H16" s="9" t="s">
        <v>138</v>
      </c>
      <c r="I16" s="10" t="n">
        <v>46129</v>
      </c>
      <c r="J16" s="10" t="n">
        <v>46146</v>
      </c>
      <c r="K16" s="9" t="s">
        <v>70</v>
      </c>
      <c r="L16" s="9" t="s">
        <v>105</v>
      </c>
      <c r="M16" s="9" t="s">
        <v>28</v>
      </c>
      <c r="N16" s="9" t="n">
        <v>50</v>
      </c>
      <c r="O16" s="9" t="n">
        <v>1980</v>
      </c>
      <c r="P16" s="9" t="s">
        <v>131</v>
      </c>
      <c r="Q16" s="9" t="s">
        <v>50</v>
      </c>
      <c r="R16" s="9"/>
      <c r="S16" s="9" t="s">
        <v>35</v>
      </c>
      <c r="T16" s="9" t="s">
        <v>83</v>
      </c>
      <c r="U16" s="9" t="s">
        <v>52</v>
      </c>
      <c r="V16" s="9" t="s">
        <v>37</v>
      </c>
      <c r="W16" s="9" t="s">
        <v>139</v>
      </c>
    </row>
    <row r="17" customFormat="false" ht="15" hidden="false" customHeight="true" outlineLevel="0" collapsed="false">
      <c r="A17" s="5" t="s">
        <v>140</v>
      </c>
      <c r="B17" s="5" t="s">
        <v>141</v>
      </c>
      <c r="C17" s="5" t="s">
        <v>142</v>
      </c>
      <c r="D17" s="5" t="s">
        <v>42</v>
      </c>
      <c r="E17" s="5" t="s">
        <v>43</v>
      </c>
      <c r="F17" s="5" t="s">
        <v>143</v>
      </c>
      <c r="G17" s="5" t="s">
        <v>93</v>
      </c>
      <c r="H17" s="5" t="s">
        <v>144</v>
      </c>
      <c r="I17" s="6" t="n">
        <v>46113</v>
      </c>
      <c r="J17" s="5"/>
      <c r="K17" s="5" t="s">
        <v>70</v>
      </c>
      <c r="L17" s="5" t="s">
        <v>105</v>
      </c>
      <c r="M17" s="5" t="s">
        <v>28</v>
      </c>
      <c r="N17" s="5"/>
      <c r="O17" s="5" t="n">
        <v>56422.55</v>
      </c>
      <c r="P17" s="5" t="s">
        <v>145</v>
      </c>
      <c r="Q17" s="5" t="n">
        <v>56422.55</v>
      </c>
      <c r="R17" s="5" t="s">
        <v>35</v>
      </c>
      <c r="S17" s="5" t="s">
        <v>51</v>
      </c>
      <c r="T17" s="5" t="s">
        <v>146</v>
      </c>
      <c r="U17" s="5" t="s">
        <v>37</v>
      </c>
      <c r="V17" s="5" t="s">
        <v>147</v>
      </c>
    </row>
    <row r="18" customFormat="false" ht="15" hidden="false" customHeight="true" outlineLevel="0" collapsed="false">
      <c r="A18" s="9" t="s">
        <v>148</v>
      </c>
      <c r="B18" s="9" t="s">
        <v>149</v>
      </c>
      <c r="C18" s="9" t="s">
        <v>41</v>
      </c>
      <c r="D18" s="9" t="s">
        <v>42</v>
      </c>
      <c r="E18" s="9" t="s">
        <v>43</v>
      </c>
      <c r="F18" s="9" t="s">
        <v>150</v>
      </c>
      <c r="G18" s="9" t="s">
        <v>151</v>
      </c>
      <c r="H18" s="9" t="s">
        <v>152</v>
      </c>
      <c r="I18" s="10" t="n">
        <v>46123</v>
      </c>
      <c r="J18" s="9"/>
      <c r="K18" s="9" t="s">
        <v>70</v>
      </c>
      <c r="L18" s="9" t="s">
        <v>105</v>
      </c>
      <c r="M18" s="9" t="s">
        <v>153</v>
      </c>
      <c r="N18" s="9" t="n">
        <v>70</v>
      </c>
      <c r="O18" s="9"/>
      <c r="P18" s="9" t="s">
        <v>154</v>
      </c>
      <c r="Q18" s="9" t="s">
        <v>155</v>
      </c>
      <c r="R18" s="9" t="n">
        <v>250000</v>
      </c>
      <c r="S18" s="9" t="s">
        <v>156</v>
      </c>
      <c r="T18" s="9" t="s">
        <v>51</v>
      </c>
      <c r="U18" s="9" t="s">
        <v>52</v>
      </c>
      <c r="V18" s="9" t="s">
        <v>37</v>
      </c>
      <c r="W18" s="9" t="s">
        <v>139</v>
      </c>
    </row>
    <row r="19" customFormat="false" ht="15" hidden="false" customHeight="true" outlineLevel="0" collapsed="false">
      <c r="A19" s="11" t="s">
        <v>157</v>
      </c>
      <c r="B19" s="11" t="s">
        <v>158</v>
      </c>
      <c r="C19" s="11" t="s">
        <v>98</v>
      </c>
      <c r="D19" s="11" t="s">
        <v>42</v>
      </c>
      <c r="E19" s="11" t="s">
        <v>43</v>
      </c>
      <c r="F19" s="11" t="s">
        <v>159</v>
      </c>
      <c r="G19" s="11" t="s">
        <v>28</v>
      </c>
      <c r="H19" s="11" t="s">
        <v>160</v>
      </c>
      <c r="I19" s="12" t="n">
        <v>46172</v>
      </c>
      <c r="J19" s="11"/>
      <c r="K19" s="11" t="s">
        <v>47</v>
      </c>
      <c r="L19" s="11" t="s">
        <v>105</v>
      </c>
      <c r="M19" s="11" t="s">
        <v>161</v>
      </c>
      <c r="N19" s="11" t="n">
        <v>53</v>
      </c>
      <c r="O19" s="11"/>
      <c r="P19" s="11" t="s">
        <v>162</v>
      </c>
      <c r="Q19" s="11" t="s">
        <v>28</v>
      </c>
      <c r="R19" s="11"/>
      <c r="S19" s="11" t="s">
        <v>163</v>
      </c>
      <c r="T19" s="11" t="s">
        <v>83</v>
      </c>
      <c r="U19" s="11" t="s">
        <v>52</v>
      </c>
      <c r="V19" s="11" t="s">
        <v>37</v>
      </c>
      <c r="W19" s="11" t="s">
        <v>164</v>
      </c>
    </row>
  </sheetData>
  <autoFilter ref="A1:W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27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8"/>
    <col collapsed="false" customWidth="true" hidden="false" outlineLevel="0" max="11" min="11" style="1" width="20"/>
    <col collapsed="false" customWidth="true" hidden="false" outlineLevel="0" max="12" min="12" style="1" width="21"/>
    <col collapsed="false" customWidth="true" hidden="false" outlineLevel="0" max="13" min="13" style="1" width="27"/>
    <col collapsed="false" customWidth="true" hidden="false" outlineLevel="0" max="14" min="14" style="1" width="23"/>
    <col collapsed="false" customWidth="true" hidden="false" outlineLevel="0" max="15" min="15" style="1" width="12"/>
    <col collapsed="false" customWidth="true" hidden="false" outlineLevel="0" max="16" min="16" style="1" width="22"/>
    <col collapsed="false" customWidth="true" hidden="false" outlineLevel="0" max="17" min="17" style="1" width="17"/>
    <col collapsed="false" customWidth="true" hidden="false" outlineLevel="0" max="18" min="18" style="1" width="10"/>
    <col collapsed="false" customWidth="true" hidden="false" outlineLevel="0" max="19" min="19" style="1" width="13"/>
    <col collapsed="false" customWidth="true" hidden="false" outlineLevel="0" max="20" min="20" style="1" width="14"/>
    <col collapsed="false" customWidth="true" hidden="false" outlineLevel="0" max="21" min="21" style="1" width="29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5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169</v>
      </c>
      <c r="I1" s="2" t="s">
        <v>170</v>
      </c>
      <c r="J1" s="2" t="s">
        <v>171</v>
      </c>
      <c r="K1" s="2" t="s">
        <v>172</v>
      </c>
      <c r="L1" s="2" t="s">
        <v>173</v>
      </c>
      <c r="M1" s="2" t="s">
        <v>174</v>
      </c>
      <c r="N1" s="2" t="s">
        <v>175</v>
      </c>
      <c r="O1" s="2" t="s">
        <v>176</v>
      </c>
      <c r="P1" s="2" t="s">
        <v>177</v>
      </c>
      <c r="Q1" s="2" t="s">
        <v>178</v>
      </c>
      <c r="R1" s="2" t="s">
        <v>179</v>
      </c>
      <c r="S1" s="2" t="s">
        <v>180</v>
      </c>
      <c r="T1" s="2" t="s">
        <v>181</v>
      </c>
      <c r="U1" s="2" t="s">
        <v>182</v>
      </c>
    </row>
    <row r="2" customFormat="false" ht="15" hidden="false" customHeight="true" outlineLevel="0" collapsed="false">
      <c r="A2" s="3" t="s">
        <v>54</v>
      </c>
      <c r="B2" s="3" t="s">
        <v>183</v>
      </c>
      <c r="C2" s="3" t="s">
        <v>137</v>
      </c>
      <c r="D2" s="3" t="s">
        <v>184</v>
      </c>
      <c r="E2" s="4" t="n">
        <v>45809</v>
      </c>
      <c r="F2" s="3" t="s">
        <v>48</v>
      </c>
      <c r="G2" s="3" t="s">
        <v>58</v>
      </c>
      <c r="H2" s="3" t="s">
        <v>185</v>
      </c>
      <c r="I2" s="3" t="n">
        <v>2.74</v>
      </c>
      <c r="J2" s="3"/>
      <c r="K2" s="3" t="n">
        <v>602.8</v>
      </c>
      <c r="L2" s="3" t="n">
        <v>140.43</v>
      </c>
      <c r="M2" s="3" t="n">
        <v>0</v>
      </c>
      <c r="N2" s="3" t="n">
        <v>170</v>
      </c>
      <c r="O2" s="3"/>
      <c r="P2" s="3"/>
      <c r="Q2" s="3" t="n">
        <v>743.23</v>
      </c>
      <c r="R2" s="3" t="n">
        <f aca="false">K2/I2</f>
        <v>220</v>
      </c>
      <c r="S2" s="3" t="n">
        <v>30</v>
      </c>
      <c r="T2" s="3" t="n">
        <v>55</v>
      </c>
      <c r="U2" s="3" t="s">
        <v>186</v>
      </c>
    </row>
    <row r="3" customFormat="false" ht="15" hidden="false" customHeight="true" outlineLevel="0" collapsed="false">
      <c r="A3" s="5" t="s">
        <v>63</v>
      </c>
      <c r="B3" s="5" t="s">
        <v>187</v>
      </c>
      <c r="C3" s="5" t="s">
        <v>137</v>
      </c>
      <c r="D3" s="5" t="s">
        <v>188</v>
      </c>
      <c r="E3" s="6" t="n">
        <v>45833</v>
      </c>
      <c r="F3" s="5" t="s">
        <v>48</v>
      </c>
      <c r="G3" s="5" t="s">
        <v>189</v>
      </c>
      <c r="H3" s="5" t="s">
        <v>185</v>
      </c>
      <c r="I3" s="5" t="n">
        <v>2.74</v>
      </c>
      <c r="J3" s="5"/>
      <c r="K3" s="5" t="n">
        <v>602.8</v>
      </c>
      <c r="L3" s="5" t="n">
        <v>140.43</v>
      </c>
      <c r="M3" s="5" t="n">
        <v>0</v>
      </c>
      <c r="N3" s="5" t="n">
        <v>170</v>
      </c>
      <c r="O3" s="5"/>
      <c r="P3" s="5"/>
      <c r="Q3" s="5" t="n">
        <v>743.23</v>
      </c>
      <c r="R3" s="5" t="n">
        <f aca="false">K3/I3</f>
        <v>220</v>
      </c>
      <c r="S3" s="5" t="n">
        <v>30</v>
      </c>
      <c r="T3" s="5" t="n">
        <v>60</v>
      </c>
      <c r="U3" s="5" t="s">
        <v>186</v>
      </c>
    </row>
    <row r="4" customFormat="false" ht="15" hidden="false" customHeight="true" outlineLevel="0" collapsed="false">
      <c r="A4" s="3" t="s">
        <v>75</v>
      </c>
      <c r="B4" s="3" t="s">
        <v>190</v>
      </c>
      <c r="C4" s="3" t="s">
        <v>79</v>
      </c>
      <c r="D4" s="3" t="s">
        <v>191</v>
      </c>
      <c r="E4" s="4" t="n">
        <v>45877</v>
      </c>
      <c r="F4" s="3" t="s">
        <v>48</v>
      </c>
      <c r="G4" s="3" t="s">
        <v>81</v>
      </c>
      <c r="H4" s="3" t="s">
        <v>28</v>
      </c>
      <c r="I4" s="3"/>
      <c r="J4" s="3" t="n">
        <v>1</v>
      </c>
      <c r="K4" s="3" t="n">
        <v>3125</v>
      </c>
      <c r="L4" s="3" t="n">
        <v>0</v>
      </c>
      <c r="M4" s="3" t="n">
        <v>555</v>
      </c>
      <c r="N4" s="3" t="n">
        <v>650</v>
      </c>
      <c r="O4" s="3" t="n">
        <v>195.04</v>
      </c>
      <c r="P4" s="3"/>
      <c r="Q4" s="3" t="n">
        <v>6125.04</v>
      </c>
      <c r="R4" s="3"/>
      <c r="S4" s="3" t="n">
        <v>12</v>
      </c>
      <c r="T4" s="3" t="n">
        <v>42</v>
      </c>
      <c r="U4" s="3" t="s">
        <v>192</v>
      </c>
    </row>
    <row r="5" customFormat="false" ht="15" hidden="false" customHeight="true" outlineLevel="0" collapsed="false">
      <c r="A5" s="5" t="s">
        <v>124</v>
      </c>
      <c r="B5" s="5" t="s">
        <v>125</v>
      </c>
      <c r="C5" s="5" t="s">
        <v>150</v>
      </c>
      <c r="D5" s="5" t="s">
        <v>193</v>
      </c>
      <c r="E5" s="6" t="n">
        <v>46054</v>
      </c>
      <c r="F5" s="5" t="s">
        <v>105</v>
      </c>
      <c r="G5" s="5" t="s">
        <v>194</v>
      </c>
      <c r="H5" s="5" t="s">
        <v>185</v>
      </c>
      <c r="I5" s="5"/>
      <c r="J5" s="5" t="n">
        <v>2</v>
      </c>
      <c r="K5" s="5" t="n">
        <v>6350</v>
      </c>
      <c r="L5" s="5" t="n">
        <v>0</v>
      </c>
      <c r="M5" s="5" t="n">
        <v>0</v>
      </c>
      <c r="N5" s="5" t="n">
        <v>1300</v>
      </c>
      <c r="O5" s="5"/>
      <c r="P5" s="5"/>
      <c r="Q5" s="5" t="n">
        <v>7650</v>
      </c>
      <c r="R5" s="5"/>
      <c r="S5" s="5" t="n">
        <v>21</v>
      </c>
      <c r="T5" s="5" t="n">
        <v>90</v>
      </c>
      <c r="U5" s="5" t="s">
        <v>195</v>
      </c>
    </row>
    <row r="6" customFormat="false" ht="15" hidden="false" customHeight="true" outlineLevel="0" collapsed="false">
      <c r="A6" s="3" t="s">
        <v>135</v>
      </c>
      <c r="B6" s="3" t="s">
        <v>136</v>
      </c>
      <c r="C6" s="3" t="s">
        <v>137</v>
      </c>
      <c r="D6" s="3" t="s">
        <v>196</v>
      </c>
      <c r="E6" s="4" t="n">
        <v>46129</v>
      </c>
      <c r="F6" s="3" t="s">
        <v>105</v>
      </c>
      <c r="G6" s="3" t="s">
        <v>138</v>
      </c>
      <c r="H6" s="3" t="s">
        <v>185</v>
      </c>
      <c r="I6" s="3"/>
      <c r="J6" s="3"/>
      <c r="K6" s="3" t="n">
        <v>780</v>
      </c>
      <c r="L6" s="3" t="n">
        <v>450</v>
      </c>
      <c r="M6" s="3" t="n">
        <v>0</v>
      </c>
      <c r="N6" s="3" t="n">
        <v>170</v>
      </c>
      <c r="O6" s="3" t="n">
        <v>50</v>
      </c>
      <c r="P6" s="3"/>
      <c r="Q6" s="3" t="n">
        <v>1980</v>
      </c>
      <c r="R6" s="3"/>
      <c r="S6" s="3" t="n">
        <v>30</v>
      </c>
      <c r="T6" s="3" t="n">
        <v>50</v>
      </c>
      <c r="U6" s="3" t="s">
        <v>197</v>
      </c>
    </row>
    <row r="8" customFormat="false" ht="15" hidden="false" customHeight="true" outlineLevel="0" collapsed="false">
      <c r="A8" s="13" t="s">
        <v>198</v>
      </c>
      <c r="K8" s="14" t="n">
        <f aca="false">SUM(K2:K6)</f>
        <v>11460.6</v>
      </c>
      <c r="L8" s="14" t="n">
        <f aca="false">SUM(L2:L6)</f>
        <v>730.86</v>
      </c>
      <c r="M8" s="14" t="n">
        <f aca="false">SUM(M2:M6)</f>
        <v>555</v>
      </c>
      <c r="N8" s="14" t="n">
        <f aca="false">SUM(N2:N6)</f>
        <v>2460</v>
      </c>
      <c r="Q8" s="14" t="n">
        <f aca="false">SUM(Q2:Q6)</f>
        <v>17241.5</v>
      </c>
    </row>
  </sheetData>
  <autoFilter ref="A1:U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"/>
    <col collapsed="false" customWidth="true" hidden="false" outlineLevel="0" max="3" min="3" style="1" width="19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24"/>
    <col collapsed="false" customWidth="true" hidden="false" outlineLevel="0" max="7" min="7" style="1" width="19"/>
    <col collapsed="false" customWidth="true" hidden="false" outlineLevel="0" max="9" min="8" style="1" width="18"/>
    <col collapsed="false" customWidth="true" hidden="false" outlineLevel="0" max="10" min="10" style="1" width="17"/>
    <col collapsed="false" customWidth="true" hidden="false" outlineLevel="0" max="11" min="11" style="1" width="31"/>
    <col collapsed="false" customWidth="true" hidden="false" outlineLevel="0" max="12" min="12" style="1" width="28"/>
    <col collapsed="false" customWidth="true" hidden="false" outlineLevel="0" max="13" min="13" style="1" width="55"/>
  </cols>
  <sheetData>
    <row r="1" customFormat="false" ht="27.75" hidden="false" customHeight="true" outlineLevel="0" collapsed="false">
      <c r="A1" s="2" t="s">
        <v>1</v>
      </c>
      <c r="B1" s="2" t="s">
        <v>2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4</v>
      </c>
      <c r="I1" s="2" t="s">
        <v>204</v>
      </c>
      <c r="J1" s="2" t="s">
        <v>205</v>
      </c>
      <c r="K1" s="2" t="s">
        <v>206</v>
      </c>
      <c r="L1" s="2" t="s">
        <v>207</v>
      </c>
      <c r="M1" s="2" t="s">
        <v>208</v>
      </c>
    </row>
    <row r="2" customFormat="false" ht="15" hidden="false" customHeight="true" outlineLevel="0" collapsed="false">
      <c r="A2" s="5" t="s">
        <v>209</v>
      </c>
      <c r="B2" s="5" t="s">
        <v>41</v>
      </c>
      <c r="C2" s="5" t="s">
        <v>42</v>
      </c>
      <c r="D2" s="5" t="s">
        <v>210</v>
      </c>
      <c r="E2" s="5" t="s">
        <v>211</v>
      </c>
      <c r="F2" s="5" t="s">
        <v>212</v>
      </c>
      <c r="G2" s="5" t="s">
        <v>28</v>
      </c>
      <c r="H2" s="5" t="s">
        <v>213</v>
      </c>
      <c r="I2" s="5" t="s">
        <v>52</v>
      </c>
      <c r="J2" s="5" t="n">
        <v>3</v>
      </c>
      <c r="K2" s="5" t="s">
        <v>214</v>
      </c>
      <c r="L2" s="5" t="s">
        <v>215</v>
      </c>
      <c r="M2" s="5" t="s">
        <v>216</v>
      </c>
    </row>
    <row r="3" customFormat="false" ht="15" hidden="false" customHeight="true" outlineLevel="0" collapsed="false">
      <c r="A3" s="3" t="s">
        <v>125</v>
      </c>
      <c r="B3" s="3" t="s">
        <v>98</v>
      </c>
      <c r="C3" s="3" t="s">
        <v>42</v>
      </c>
      <c r="D3" s="3" t="s">
        <v>217</v>
      </c>
      <c r="E3" s="3" t="s">
        <v>218</v>
      </c>
      <c r="F3" s="3" t="s">
        <v>219</v>
      </c>
      <c r="G3" s="3" t="s">
        <v>185</v>
      </c>
      <c r="H3" s="3" t="s">
        <v>213</v>
      </c>
      <c r="I3" s="3" t="s">
        <v>52</v>
      </c>
      <c r="J3" s="3" t="n">
        <v>1</v>
      </c>
      <c r="K3" s="3" t="s">
        <v>220</v>
      </c>
      <c r="L3" s="3" t="s">
        <v>215</v>
      </c>
      <c r="M3" s="3" t="s">
        <v>221</v>
      </c>
    </row>
    <row r="4" customFormat="false" ht="15" hidden="false" customHeight="true" outlineLevel="0" collapsed="false">
      <c r="A4" s="5" t="s">
        <v>97</v>
      </c>
      <c r="B4" s="5" t="s">
        <v>98</v>
      </c>
      <c r="C4" s="5" t="s">
        <v>42</v>
      </c>
      <c r="D4" s="5" t="s">
        <v>222</v>
      </c>
      <c r="E4" s="5" t="s">
        <v>28</v>
      </c>
      <c r="F4" s="5" t="s">
        <v>28</v>
      </c>
      <c r="G4" s="5" t="s">
        <v>28</v>
      </c>
      <c r="H4" s="5" t="s">
        <v>213</v>
      </c>
      <c r="I4" s="5" t="s">
        <v>52</v>
      </c>
      <c r="J4" s="5" t="n">
        <v>2</v>
      </c>
      <c r="K4" s="5" t="s">
        <v>223</v>
      </c>
      <c r="L4" s="5" t="s">
        <v>215</v>
      </c>
      <c r="M4" s="5" t="s">
        <v>224</v>
      </c>
    </row>
    <row r="5" customFormat="false" ht="15" hidden="false" customHeight="true" outlineLevel="0" collapsed="false">
      <c r="A5" s="3" t="s">
        <v>225</v>
      </c>
      <c r="B5" s="3" t="s">
        <v>41</v>
      </c>
      <c r="C5" s="3" t="s">
        <v>42</v>
      </c>
      <c r="D5" s="3" t="s">
        <v>61</v>
      </c>
      <c r="E5" s="3" t="s">
        <v>28</v>
      </c>
      <c r="F5" s="3" t="s">
        <v>28</v>
      </c>
      <c r="G5" s="3" t="s">
        <v>185</v>
      </c>
      <c r="H5" s="3" t="s">
        <v>226</v>
      </c>
      <c r="I5" s="3" t="s">
        <v>52</v>
      </c>
      <c r="J5" s="3" t="n">
        <v>2</v>
      </c>
      <c r="K5" s="3" t="s">
        <v>227</v>
      </c>
      <c r="L5" s="3" t="s">
        <v>215</v>
      </c>
      <c r="M5" s="3" t="s">
        <v>228</v>
      </c>
    </row>
    <row r="6" customFormat="false" ht="15" hidden="false" customHeight="true" outlineLevel="0" collapsed="false">
      <c r="A6" s="5" t="s">
        <v>229</v>
      </c>
      <c r="B6" s="5" t="s">
        <v>77</v>
      </c>
      <c r="C6" s="5" t="s">
        <v>78</v>
      </c>
      <c r="D6" s="5" t="s">
        <v>83</v>
      </c>
      <c r="E6" s="5" t="s">
        <v>28</v>
      </c>
      <c r="F6" s="5" t="s">
        <v>28</v>
      </c>
      <c r="G6" s="5" t="s">
        <v>28</v>
      </c>
      <c r="H6" s="5" t="s">
        <v>230</v>
      </c>
      <c r="I6" s="5" t="s">
        <v>52</v>
      </c>
      <c r="J6" s="5" t="n">
        <v>2</v>
      </c>
      <c r="K6" s="5" t="s">
        <v>231</v>
      </c>
      <c r="L6" s="5" t="s">
        <v>215</v>
      </c>
      <c r="M6" s="5" t="s">
        <v>232</v>
      </c>
    </row>
    <row r="7" customFormat="false" ht="15" hidden="false" customHeight="true" outlineLevel="0" collapsed="false">
      <c r="A7" s="3" t="s">
        <v>116</v>
      </c>
      <c r="B7" s="3" t="s">
        <v>77</v>
      </c>
      <c r="C7" s="3" t="s">
        <v>78</v>
      </c>
      <c r="D7" s="3" t="s">
        <v>83</v>
      </c>
      <c r="E7" s="3" t="s">
        <v>28</v>
      </c>
      <c r="F7" s="3" t="s">
        <v>28</v>
      </c>
      <c r="G7" s="3" t="s">
        <v>28</v>
      </c>
      <c r="H7" s="3" t="s">
        <v>213</v>
      </c>
      <c r="I7" s="3" t="s">
        <v>52</v>
      </c>
      <c r="J7" s="3" t="n">
        <v>1</v>
      </c>
      <c r="K7" s="3" t="s">
        <v>233</v>
      </c>
      <c r="L7" s="3" t="s">
        <v>215</v>
      </c>
      <c r="M7" s="3" t="s">
        <v>234</v>
      </c>
    </row>
    <row r="8" customFormat="false" ht="15" hidden="false" customHeight="true" outlineLevel="0" collapsed="false">
      <c r="A8" s="5" t="s">
        <v>235</v>
      </c>
      <c r="B8" s="5" t="s">
        <v>25</v>
      </c>
      <c r="C8" s="5" t="s">
        <v>25</v>
      </c>
      <c r="D8" s="5" t="s">
        <v>236</v>
      </c>
      <c r="E8" s="5" t="s">
        <v>237</v>
      </c>
      <c r="F8" s="5" t="s">
        <v>238</v>
      </c>
      <c r="G8" s="5" t="s">
        <v>28</v>
      </c>
      <c r="H8" s="5" t="s">
        <v>239</v>
      </c>
      <c r="I8" s="5" t="s">
        <v>29</v>
      </c>
      <c r="J8" s="5" t="n">
        <v>2</v>
      </c>
      <c r="K8" s="5" t="s">
        <v>240</v>
      </c>
      <c r="L8" s="5" t="s">
        <v>215</v>
      </c>
      <c r="M8" s="5" t="s">
        <v>241</v>
      </c>
    </row>
    <row r="9" customFormat="false" ht="15" hidden="false" customHeight="true" outlineLevel="0" collapsed="false">
      <c r="A9" s="3" t="s">
        <v>242</v>
      </c>
      <c r="B9" s="3" t="s">
        <v>25</v>
      </c>
      <c r="C9" s="3" t="s">
        <v>25</v>
      </c>
      <c r="D9" s="3" t="s">
        <v>243</v>
      </c>
      <c r="E9" s="3" t="s">
        <v>244</v>
      </c>
      <c r="F9" s="3" t="s">
        <v>245</v>
      </c>
      <c r="G9" s="3" t="s">
        <v>28</v>
      </c>
      <c r="H9" s="3" t="s">
        <v>239</v>
      </c>
      <c r="I9" s="3" t="s">
        <v>29</v>
      </c>
      <c r="J9" s="3" t="n">
        <v>1</v>
      </c>
      <c r="K9" s="3" t="s">
        <v>227</v>
      </c>
      <c r="L9" s="3" t="s">
        <v>246</v>
      </c>
      <c r="M9" s="3" t="s">
        <v>247</v>
      </c>
    </row>
    <row r="10" customFormat="false" ht="15" hidden="false" customHeight="true" outlineLevel="0" collapsed="false">
      <c r="A10" s="5" t="s">
        <v>248</v>
      </c>
      <c r="B10" s="5" t="s">
        <v>25</v>
      </c>
      <c r="C10" s="5" t="s">
        <v>25</v>
      </c>
      <c r="D10" s="5" t="s">
        <v>249</v>
      </c>
      <c r="E10" s="5" t="s">
        <v>250</v>
      </c>
      <c r="F10" s="5" t="s">
        <v>251</v>
      </c>
      <c r="G10" s="5" t="s">
        <v>28</v>
      </c>
      <c r="H10" s="5" t="s">
        <v>239</v>
      </c>
      <c r="I10" s="5" t="s">
        <v>29</v>
      </c>
      <c r="J10" s="5" t="n">
        <v>1</v>
      </c>
      <c r="K10" s="5" t="s">
        <v>252</v>
      </c>
      <c r="L10" s="5" t="s">
        <v>215</v>
      </c>
      <c r="M10" s="5" t="s">
        <v>253</v>
      </c>
    </row>
    <row r="11" customFormat="false" ht="15" hidden="false" customHeight="true" outlineLevel="0" collapsed="false">
      <c r="A11" s="3" t="s">
        <v>254</v>
      </c>
      <c r="B11" s="3" t="s">
        <v>142</v>
      </c>
      <c r="C11" s="3" t="s">
        <v>42</v>
      </c>
      <c r="D11" s="3" t="s">
        <v>255</v>
      </c>
      <c r="E11" s="3" t="s">
        <v>256</v>
      </c>
      <c r="F11" s="3" t="s">
        <v>257</v>
      </c>
      <c r="G11" s="3" t="s">
        <v>258</v>
      </c>
      <c r="H11" s="3" t="s">
        <v>259</v>
      </c>
      <c r="I11" s="3" t="s">
        <v>146</v>
      </c>
      <c r="J11" s="3" t="n">
        <v>1</v>
      </c>
      <c r="K11" s="3" t="s">
        <v>260</v>
      </c>
      <c r="L11" s="3" t="s">
        <v>215</v>
      </c>
      <c r="M11" s="3" t="s">
        <v>261</v>
      </c>
    </row>
    <row r="12" customFormat="false" ht="15" hidden="false" customHeight="true" outlineLevel="0" collapsed="false">
      <c r="A12" s="7" t="s">
        <v>109</v>
      </c>
      <c r="B12" s="7" t="s">
        <v>28</v>
      </c>
      <c r="C12" s="7" t="s">
        <v>28</v>
      </c>
      <c r="D12" s="7" t="s">
        <v>262</v>
      </c>
      <c r="E12" s="7" t="s">
        <v>28</v>
      </c>
      <c r="F12" s="7" t="s">
        <v>28</v>
      </c>
      <c r="G12" s="7" t="s">
        <v>28</v>
      </c>
      <c r="H12" s="7" t="s">
        <v>28</v>
      </c>
      <c r="I12" s="7" t="s">
        <v>28</v>
      </c>
      <c r="J12" s="7" t="n">
        <v>1</v>
      </c>
      <c r="K12" s="7" t="s">
        <v>263</v>
      </c>
      <c r="L12" s="7" t="s">
        <v>264</v>
      </c>
      <c r="M12" s="7" t="s">
        <v>265</v>
      </c>
    </row>
    <row r="13" customFormat="false" ht="15" hidden="false" customHeight="true" outlineLevel="0" collapsed="false">
      <c r="A13" s="3" t="s">
        <v>190</v>
      </c>
      <c r="B13" s="3" t="s">
        <v>77</v>
      </c>
      <c r="C13" s="3" t="s">
        <v>78</v>
      </c>
      <c r="D13" s="3" t="s">
        <v>266</v>
      </c>
      <c r="E13" s="3" t="s">
        <v>28</v>
      </c>
      <c r="F13" s="3" t="s">
        <v>28</v>
      </c>
      <c r="G13" s="3" t="s">
        <v>28</v>
      </c>
      <c r="H13" s="3" t="s">
        <v>267</v>
      </c>
      <c r="I13" s="3" t="s">
        <v>52</v>
      </c>
      <c r="J13" s="3" t="n">
        <v>1</v>
      </c>
      <c r="K13" s="3" t="s">
        <v>227</v>
      </c>
      <c r="L13" s="3" t="s">
        <v>33</v>
      </c>
      <c r="M13" s="3" t="s">
        <v>268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40"/>
    <col collapsed="false" customWidth="true" hidden="false" outlineLevel="0" max="6" min="6" style="1" width="50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55"/>
    <col collapsed="false" customWidth="true" hidden="false" outlineLevel="0" max="10" min="10" style="1" width="33"/>
    <col collapsed="false" customWidth="true" hidden="false" outlineLevel="0" max="11" min="11" style="1" width="15"/>
    <col collapsed="false" customWidth="true" hidden="false" outlineLevel="0" max="12" min="12" style="1" width="45"/>
  </cols>
  <sheetData>
    <row r="1" customFormat="false" ht="27.75" hidden="false" customHeight="true" outlineLevel="0" collapsed="false">
      <c r="A1" s="2" t="s">
        <v>269</v>
      </c>
      <c r="B1" s="2" t="s">
        <v>270</v>
      </c>
      <c r="C1" s="2" t="s">
        <v>271</v>
      </c>
      <c r="D1" s="2" t="s">
        <v>1</v>
      </c>
      <c r="E1" s="2" t="s">
        <v>272</v>
      </c>
      <c r="F1" s="2" t="s">
        <v>273</v>
      </c>
      <c r="G1" s="2" t="s">
        <v>274</v>
      </c>
      <c r="H1" s="2" t="s">
        <v>275</v>
      </c>
      <c r="I1" s="2" t="s">
        <v>276</v>
      </c>
      <c r="J1" s="2" t="s">
        <v>277</v>
      </c>
      <c r="K1" s="2" t="s">
        <v>278</v>
      </c>
      <c r="L1" s="2" t="s">
        <v>22</v>
      </c>
    </row>
    <row r="2" customFormat="false" ht="15" hidden="false" customHeight="true" outlineLevel="0" collapsed="false">
      <c r="A2" s="7" t="n">
        <v>1</v>
      </c>
      <c r="B2" s="7" t="s">
        <v>279</v>
      </c>
      <c r="C2" s="7" t="s">
        <v>108</v>
      </c>
      <c r="D2" s="7" t="s">
        <v>109</v>
      </c>
      <c r="E2" s="7" t="s">
        <v>110</v>
      </c>
      <c r="F2" s="7" t="s">
        <v>280</v>
      </c>
      <c r="G2" s="8" t="n">
        <v>46042</v>
      </c>
      <c r="H2" s="7" t="n">
        <v>112</v>
      </c>
      <c r="I2" s="7" t="s">
        <v>281</v>
      </c>
      <c r="J2" s="7" t="s">
        <v>282</v>
      </c>
      <c r="K2" s="7" t="s">
        <v>283</v>
      </c>
      <c r="L2" s="7" t="s">
        <v>114</v>
      </c>
    </row>
    <row r="3" customFormat="false" ht="15" hidden="false" customHeight="true" outlineLevel="0" collapsed="false">
      <c r="A3" s="7" t="n">
        <v>2</v>
      </c>
      <c r="B3" s="7" t="s">
        <v>279</v>
      </c>
      <c r="C3" s="7" t="s">
        <v>157</v>
      </c>
      <c r="D3" s="7" t="s">
        <v>158</v>
      </c>
      <c r="E3" s="7" t="s">
        <v>284</v>
      </c>
      <c r="F3" s="7" t="s">
        <v>285</v>
      </c>
      <c r="G3" s="8" t="n">
        <v>46154</v>
      </c>
      <c r="H3" s="7" t="n">
        <v>0</v>
      </c>
      <c r="I3" s="7" t="s">
        <v>286</v>
      </c>
      <c r="J3" s="7" t="s">
        <v>287</v>
      </c>
      <c r="K3" s="7" t="s">
        <v>283</v>
      </c>
      <c r="L3" s="7" t="s">
        <v>164</v>
      </c>
    </row>
    <row r="4" customFormat="false" ht="15" hidden="false" customHeight="true" outlineLevel="0" collapsed="false">
      <c r="A4" s="7" t="n">
        <v>3</v>
      </c>
      <c r="B4" s="7" t="s">
        <v>279</v>
      </c>
      <c r="C4" s="7" t="s">
        <v>148</v>
      </c>
      <c r="D4" s="7" t="s">
        <v>149</v>
      </c>
      <c r="E4" s="7" t="s">
        <v>288</v>
      </c>
      <c r="F4" s="7" t="s">
        <v>289</v>
      </c>
      <c r="G4" s="8" t="n">
        <v>46144</v>
      </c>
      <c r="H4" s="7" t="n">
        <v>10</v>
      </c>
      <c r="I4" s="7" t="s">
        <v>290</v>
      </c>
      <c r="J4" s="7" t="s">
        <v>291</v>
      </c>
      <c r="K4" s="7" t="s">
        <v>283</v>
      </c>
      <c r="L4" s="7" t="s">
        <v>292</v>
      </c>
    </row>
    <row r="5" customFormat="false" ht="15" hidden="false" customHeight="true" outlineLevel="0" collapsed="false">
      <c r="A5" s="7" t="n">
        <v>4</v>
      </c>
      <c r="B5" s="7" t="s">
        <v>279</v>
      </c>
      <c r="C5" s="7" t="s">
        <v>124</v>
      </c>
      <c r="D5" s="7" t="s">
        <v>125</v>
      </c>
      <c r="E5" s="7" t="s">
        <v>293</v>
      </c>
      <c r="F5" s="7" t="s">
        <v>294</v>
      </c>
      <c r="G5" s="8" t="n">
        <v>46135</v>
      </c>
      <c r="H5" s="7" t="n">
        <v>19</v>
      </c>
      <c r="I5" s="7" t="s">
        <v>295</v>
      </c>
      <c r="J5" s="7" t="s">
        <v>287</v>
      </c>
      <c r="K5" s="7" t="s">
        <v>296</v>
      </c>
      <c r="L5" s="7" t="s">
        <v>134</v>
      </c>
    </row>
    <row r="6" customFormat="false" ht="15" hidden="false" customHeight="true" outlineLevel="0" collapsed="false">
      <c r="A6" s="9" t="n">
        <v>5</v>
      </c>
      <c r="B6" s="9" t="s">
        <v>297</v>
      </c>
      <c r="C6" s="9" t="s">
        <v>135</v>
      </c>
      <c r="D6" s="9" t="s">
        <v>136</v>
      </c>
      <c r="E6" s="9" t="s">
        <v>298</v>
      </c>
      <c r="F6" s="9" t="s">
        <v>299</v>
      </c>
      <c r="G6" s="10" t="n">
        <v>46146</v>
      </c>
      <c r="H6" s="9" t="n">
        <v>8</v>
      </c>
      <c r="I6" s="9" t="s">
        <v>300</v>
      </c>
      <c r="J6" s="9" t="s">
        <v>287</v>
      </c>
      <c r="K6" s="9" t="s">
        <v>296</v>
      </c>
      <c r="L6" s="9" t="s">
        <v>139</v>
      </c>
    </row>
    <row r="7" customFormat="false" ht="15" hidden="false" customHeight="true" outlineLevel="0" collapsed="false">
      <c r="A7" s="9" t="n">
        <v>6</v>
      </c>
      <c r="B7" s="9" t="s">
        <v>297</v>
      </c>
      <c r="C7" s="9" t="s">
        <v>85</v>
      </c>
      <c r="D7" s="9" t="s">
        <v>242</v>
      </c>
      <c r="E7" s="9" t="s">
        <v>301</v>
      </c>
      <c r="F7" s="9" t="s">
        <v>302</v>
      </c>
      <c r="G7" s="10" t="n">
        <v>46153</v>
      </c>
      <c r="H7" s="9" t="n">
        <v>1</v>
      </c>
      <c r="I7" s="9" t="s">
        <v>303</v>
      </c>
      <c r="J7" s="9" t="s">
        <v>304</v>
      </c>
      <c r="K7" s="9" t="s">
        <v>305</v>
      </c>
      <c r="L7" s="9" t="s">
        <v>90</v>
      </c>
    </row>
    <row r="8" customFormat="false" ht="15" hidden="false" customHeight="true" outlineLevel="0" collapsed="false">
      <c r="A8" s="9" t="n">
        <v>7</v>
      </c>
      <c r="B8" s="9" t="s">
        <v>297</v>
      </c>
      <c r="C8" s="9" t="s">
        <v>118</v>
      </c>
      <c r="D8" s="9" t="s">
        <v>306</v>
      </c>
      <c r="E8" s="9" t="s">
        <v>307</v>
      </c>
      <c r="F8" s="9" t="s">
        <v>308</v>
      </c>
      <c r="G8" s="10" t="n">
        <v>46076</v>
      </c>
      <c r="H8" s="9" t="n">
        <v>79</v>
      </c>
      <c r="I8" s="9" t="s">
        <v>309</v>
      </c>
      <c r="J8" s="9" t="s">
        <v>310</v>
      </c>
      <c r="K8" s="9" t="s">
        <v>311</v>
      </c>
      <c r="L8" s="9" t="s">
        <v>312</v>
      </c>
    </row>
    <row r="9" customFormat="false" ht="15" hidden="false" customHeight="true" outlineLevel="0" collapsed="false">
      <c r="A9" s="15" t="n">
        <v>8</v>
      </c>
      <c r="B9" s="15" t="s">
        <v>313</v>
      </c>
      <c r="C9" s="15" t="s">
        <v>148</v>
      </c>
      <c r="D9" s="15" t="s">
        <v>149</v>
      </c>
      <c r="E9" s="15" t="s">
        <v>314</v>
      </c>
      <c r="F9" s="15" t="s">
        <v>315</v>
      </c>
      <c r="G9" s="16" t="n">
        <v>46166</v>
      </c>
      <c r="H9" s="15"/>
      <c r="I9" s="15" t="s">
        <v>316</v>
      </c>
      <c r="J9" s="15" t="s">
        <v>287</v>
      </c>
      <c r="K9" s="15" t="s">
        <v>305</v>
      </c>
      <c r="L9" s="15" t="s">
        <v>139</v>
      </c>
    </row>
    <row r="10" customFormat="false" ht="15" hidden="false" customHeight="true" outlineLevel="0" collapsed="false">
      <c r="A10" s="15" t="n">
        <v>9</v>
      </c>
      <c r="B10" s="15" t="s">
        <v>313</v>
      </c>
      <c r="C10" s="15" t="s">
        <v>28</v>
      </c>
      <c r="D10" s="15" t="s">
        <v>317</v>
      </c>
      <c r="E10" s="15" t="s">
        <v>318</v>
      </c>
      <c r="F10" s="15" t="s">
        <v>319</v>
      </c>
      <c r="G10" s="16" t="n">
        <v>46154</v>
      </c>
      <c r="H10" s="15" t="n">
        <v>0</v>
      </c>
      <c r="I10" s="15" t="s">
        <v>320</v>
      </c>
      <c r="J10" s="15" t="s">
        <v>282</v>
      </c>
      <c r="K10" s="15" t="s">
        <v>283</v>
      </c>
      <c r="L10" s="15" t="s">
        <v>321</v>
      </c>
    </row>
  </sheetData>
  <autoFilter ref="A1:L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55"/>
    <col collapsed="false" customWidth="true" hidden="false" outlineLevel="0" max="5" min="5" style="1" width="28"/>
  </cols>
  <sheetData>
    <row r="1" customFormat="false" ht="27.75" hidden="false" customHeight="true" outlineLevel="0" collapsed="false">
      <c r="A1" s="2" t="s">
        <v>322</v>
      </c>
      <c r="B1" s="2" t="s">
        <v>323</v>
      </c>
      <c r="C1" s="2" t="s">
        <v>324</v>
      </c>
      <c r="D1" s="2" t="s">
        <v>325</v>
      </c>
    </row>
    <row r="2" customFormat="false" ht="27.75" hidden="false" customHeight="true" outlineLevel="0" collapsed="false">
      <c r="A2" s="3" t="s">
        <v>326</v>
      </c>
      <c r="B2" s="3" t="n">
        <v>17</v>
      </c>
      <c r="C2" s="3" t="s">
        <v>327</v>
      </c>
      <c r="D2" s="3" t="s">
        <v>328</v>
      </c>
    </row>
    <row r="3" customFormat="false" ht="15" hidden="false" customHeight="true" outlineLevel="0" collapsed="false">
      <c r="A3" s="5" t="s">
        <v>329</v>
      </c>
      <c r="B3" s="5" t="n">
        <v>13</v>
      </c>
      <c r="C3" s="5" t="s">
        <v>327</v>
      </c>
      <c r="D3" s="5" t="s">
        <v>330</v>
      </c>
    </row>
    <row r="4" customFormat="false" ht="15" hidden="false" customHeight="true" outlineLevel="0" collapsed="false">
      <c r="A4" s="3" t="s">
        <v>331</v>
      </c>
      <c r="B4" s="3" t="n">
        <v>4</v>
      </c>
      <c r="C4" s="3" t="s">
        <v>327</v>
      </c>
      <c r="D4" s="3" t="s">
        <v>332</v>
      </c>
    </row>
    <row r="5" customFormat="false" ht="15" hidden="false" customHeight="true" outlineLevel="0" collapsed="false">
      <c r="A5" s="5" t="s">
        <v>333</v>
      </c>
      <c r="B5" s="5" t="n">
        <v>11</v>
      </c>
      <c r="C5" s="5" t="s">
        <v>334</v>
      </c>
      <c r="D5" s="5" t="s">
        <v>335</v>
      </c>
    </row>
    <row r="6" customFormat="false" ht="15" hidden="false" customHeight="true" outlineLevel="0" collapsed="false">
      <c r="A6" s="3" t="s">
        <v>336</v>
      </c>
      <c r="B6" s="3" t="n">
        <v>17241</v>
      </c>
      <c r="C6" s="3" t="s">
        <v>337</v>
      </c>
      <c r="D6" s="3" t="s">
        <v>338</v>
      </c>
    </row>
    <row r="7" customFormat="false" ht="15" hidden="false" customHeight="true" outlineLevel="0" collapsed="false">
      <c r="A7" s="5" t="s">
        <v>339</v>
      </c>
      <c r="B7" s="5" t="n">
        <v>306422.55</v>
      </c>
      <c r="C7" s="5" t="s">
        <v>337</v>
      </c>
      <c r="D7" s="5" t="s">
        <v>340</v>
      </c>
    </row>
    <row r="8" customFormat="false" ht="15" hidden="false" customHeight="true" outlineLevel="0" collapsed="false">
      <c r="A8" s="3" t="s">
        <v>341</v>
      </c>
      <c r="B8" s="3" t="n">
        <v>5</v>
      </c>
      <c r="C8" s="3" t="n">
        <v>399</v>
      </c>
      <c r="D8" s="3" t="s">
        <v>337</v>
      </c>
      <c r="E8" s="3" t="s">
        <v>342</v>
      </c>
    </row>
    <row r="9" customFormat="false" ht="15" hidden="false" customHeight="true" outlineLevel="0" collapsed="false">
      <c r="A9" s="5" t="s">
        <v>343</v>
      </c>
      <c r="B9" s="5" t="n">
        <v>220</v>
      </c>
      <c r="C9" s="5" t="s">
        <v>344</v>
      </c>
      <c r="D9" s="5" t="s">
        <v>345</v>
      </c>
    </row>
    <row r="10" customFormat="false" ht="15" hidden="false" customHeight="true" outlineLevel="0" collapsed="false">
      <c r="A10" s="3" t="s">
        <v>346</v>
      </c>
      <c r="B10" s="3" t="n">
        <v>69</v>
      </c>
      <c r="C10" s="3" t="s">
        <v>347</v>
      </c>
      <c r="D10" s="3" t="s">
        <v>348</v>
      </c>
    </row>
    <row r="11" customFormat="false" ht="15" hidden="false" customHeight="true" outlineLevel="0" collapsed="false">
      <c r="A11" s="5" t="s">
        <v>349</v>
      </c>
      <c r="B11" s="5" t="n">
        <v>39</v>
      </c>
      <c r="C11" s="5" t="s">
        <v>347</v>
      </c>
      <c r="D11" s="5" t="s">
        <v>350</v>
      </c>
    </row>
    <row r="12" customFormat="false" ht="15" hidden="false" customHeight="true" outlineLevel="0" collapsed="false">
      <c r="A12" s="3" t="s">
        <v>351</v>
      </c>
      <c r="B12" s="3" t="n">
        <v>10</v>
      </c>
      <c r="C12" s="3" t="s">
        <v>347</v>
      </c>
      <c r="D12" s="3" t="s">
        <v>352</v>
      </c>
    </row>
    <row r="13" customFormat="false" ht="15" hidden="false" customHeight="true" outlineLevel="0" collapsed="false">
      <c r="A13" s="5" t="s">
        <v>353</v>
      </c>
      <c r="B13" s="5" t="n">
        <v>1</v>
      </c>
      <c r="C13" s="5" t="s">
        <v>334</v>
      </c>
      <c r="D13" s="5" t="s">
        <v>354</v>
      </c>
    </row>
    <row r="14" customFormat="false" ht="15" hidden="false" customHeight="true" outlineLevel="0" collapsed="false">
      <c r="A14" s="3" t="s">
        <v>355</v>
      </c>
      <c r="B14" s="3" t="n">
        <v>22</v>
      </c>
      <c r="C14" s="3" t="s">
        <v>356</v>
      </c>
      <c r="D14" s="3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2026-05-13T17:46:47Z</dcterms:created>
  <dc:creator>openpyxl</dc:creator>
  <dc:description/>
  <dc:language>en-US</dc:language>
  <cp:lastModifiedBy/>
  <dcterms:modified xsi:type="dcterms:W3CDTF">2026-05-13T17:47:14Z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